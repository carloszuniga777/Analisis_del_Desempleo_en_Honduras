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56df03b4682b94/Documentos/Programacion/Data_Analytics_Portfolio/Analisis_Desempleo_en_Honduras/dataset/"/>
    </mc:Choice>
  </mc:AlternateContent>
  <xr:revisionPtr revIDLastSave="953" documentId="11_AD4D2F04E46CFB4ACB3E20942D54DA82683EDF1F" xr6:coauthVersionLast="47" xr6:coauthVersionMax="47" xr10:uidLastSave="{EC4F81D7-F1A4-42F8-B96C-84FEA18F6959}"/>
  <bookViews>
    <workbookView xWindow="-120" yWindow="-120" windowWidth="29040" windowHeight="15720" firstSheet="3" activeTab="4" xr2:uid="{00000000-000D-0000-FFFF-FFFF00000000}"/>
  </bookViews>
  <sheets>
    <sheet name="Fuente 2012 - 2016" sheetId="3" state="hidden" r:id="rId1"/>
    <sheet name="Sumaria Edad 2012 - 2016" sheetId="4" state="hidden" r:id="rId2"/>
    <sheet name="Sumatoria Genero 2012 - 2016" sheetId="7" state="hidden" r:id="rId3"/>
    <sheet name="Empleo Edad 2012 - 2025" sheetId="5" r:id="rId4"/>
    <sheet name="Empleo Genero 2012 - 2025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I4" i="3" s="1"/>
  <c r="G85" i="3"/>
  <c r="I85" i="3" s="1"/>
  <c r="G86" i="3"/>
  <c r="I86" i="3" s="1"/>
  <c r="G87" i="3"/>
  <c r="I87" i="3" s="1"/>
  <c r="G88" i="3"/>
  <c r="I88" i="3" s="1"/>
  <c r="G89" i="3"/>
  <c r="I89" i="3" s="1"/>
  <c r="G90" i="3"/>
  <c r="I90" i="3" s="1"/>
  <c r="G91" i="3"/>
  <c r="I91" i="3" s="1"/>
  <c r="G92" i="3"/>
  <c r="I92" i="3" s="1"/>
  <c r="G93" i="3"/>
  <c r="I93" i="3" s="1"/>
  <c r="G94" i="3"/>
  <c r="I94" i="3" s="1"/>
  <c r="G95" i="3"/>
  <c r="I95" i="3" s="1"/>
  <c r="G96" i="3"/>
  <c r="I96" i="3" s="1"/>
  <c r="G97" i="3"/>
  <c r="I97" i="3" s="1"/>
  <c r="G98" i="3"/>
  <c r="I98" i="3" s="1"/>
  <c r="G99" i="3"/>
  <c r="I99" i="3" s="1"/>
  <c r="G100" i="3"/>
  <c r="I100" i="3" s="1"/>
  <c r="G101" i="3"/>
  <c r="I101" i="3" s="1"/>
  <c r="G102" i="3"/>
  <c r="I102" i="3" s="1"/>
  <c r="G103" i="3"/>
  <c r="I103" i="3" s="1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G84" i="3"/>
  <c r="I84" i="3" s="1"/>
  <c r="H84" i="3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G72" i="3"/>
  <c r="I72" i="3" s="1"/>
  <c r="G73" i="3"/>
  <c r="I73" i="3" s="1"/>
  <c r="G74" i="3"/>
  <c r="I74" i="3" s="1"/>
  <c r="G75" i="3"/>
  <c r="I75" i="3" s="1"/>
  <c r="G76" i="3"/>
  <c r="I76" i="3" s="1"/>
  <c r="G77" i="3"/>
  <c r="I77" i="3" s="1"/>
  <c r="G78" i="3"/>
  <c r="I78" i="3" s="1"/>
  <c r="G79" i="3"/>
  <c r="I79" i="3" s="1"/>
  <c r="G80" i="3"/>
  <c r="I80" i="3" s="1"/>
  <c r="G81" i="3"/>
  <c r="I81" i="3" s="1"/>
  <c r="G82" i="3"/>
  <c r="I82" i="3" s="1"/>
  <c r="G83" i="3"/>
  <c r="I83" i="3" s="1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G64" i="3"/>
  <c r="I64" i="3" s="1"/>
  <c r="H64" i="3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H56" i="3"/>
  <c r="H57" i="3"/>
  <c r="H58" i="3"/>
  <c r="H59" i="3"/>
  <c r="H60" i="3"/>
  <c r="H61" i="3"/>
  <c r="H62" i="3"/>
  <c r="H63" i="3"/>
  <c r="G55" i="3"/>
  <c r="I55" i="3" s="1"/>
  <c r="H55" i="3"/>
  <c r="G54" i="3"/>
  <c r="I54" i="3" s="1"/>
  <c r="H54" i="3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G53" i="3"/>
  <c r="I53" i="3" s="1"/>
  <c r="H45" i="3"/>
  <c r="H46" i="3"/>
  <c r="H47" i="3"/>
  <c r="H48" i="3"/>
  <c r="H49" i="3"/>
  <c r="H50" i="3"/>
  <c r="H51" i="3"/>
  <c r="H52" i="3"/>
  <c r="H53" i="3"/>
  <c r="G44" i="3"/>
  <c r="I44" i="3" s="1"/>
  <c r="H44" i="3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H34" i="3"/>
  <c r="H35" i="3"/>
  <c r="H36" i="3"/>
  <c r="H37" i="3"/>
  <c r="H38" i="3"/>
  <c r="H39" i="3"/>
  <c r="H40" i="3"/>
  <c r="H41" i="3"/>
  <c r="H42" i="3"/>
  <c r="H43" i="3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H24" i="3"/>
  <c r="H25" i="3"/>
  <c r="H26" i="3"/>
  <c r="H27" i="3"/>
  <c r="H28" i="3"/>
  <c r="H29" i="3"/>
  <c r="H30" i="3"/>
  <c r="H31" i="3"/>
  <c r="H32" i="3"/>
  <c r="H33" i="3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H14" i="3"/>
  <c r="H15" i="3"/>
  <c r="H16" i="3"/>
  <c r="H17" i="3"/>
  <c r="H18" i="3"/>
  <c r="H19" i="3"/>
  <c r="H20" i="3"/>
  <c r="H21" i="3"/>
  <c r="H22" i="3"/>
  <c r="H23" i="3"/>
  <c r="H4" i="3"/>
  <c r="H5" i="3"/>
  <c r="H6" i="3"/>
  <c r="H7" i="3"/>
  <c r="H8" i="3"/>
  <c r="H9" i="3"/>
  <c r="H10" i="3"/>
  <c r="H11" i="3"/>
  <c r="H12" i="3"/>
  <c r="H13" i="3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</calcChain>
</file>

<file path=xl/sharedStrings.xml><?xml version="1.0" encoding="utf-8"?>
<sst xmlns="http://schemas.openxmlformats.org/spreadsheetml/2006/main" count="461" uniqueCount="55">
  <si>
    <t>Grupos de edad</t>
  </si>
  <si>
    <t>Ocupados</t>
  </si>
  <si>
    <t>Desocupados</t>
  </si>
  <si>
    <t>Inactivos</t>
  </si>
  <si>
    <t>Hombre</t>
  </si>
  <si>
    <t>Mujer</t>
  </si>
  <si>
    <t>Genero</t>
  </si>
  <si>
    <t>Año</t>
  </si>
  <si>
    <t>De 10 a 11 años</t>
  </si>
  <si>
    <t>De 12 a 14 años</t>
  </si>
  <si>
    <t>De 15 a 18 años</t>
  </si>
  <si>
    <t>De 19 a 24 años</t>
  </si>
  <si>
    <t>De 25 a 29 años</t>
  </si>
  <si>
    <t>De 30 a 35 años</t>
  </si>
  <si>
    <t>De 36 a 44 años</t>
  </si>
  <si>
    <t>De 45 a 59 años</t>
  </si>
  <si>
    <t>De 60 años y más</t>
  </si>
  <si>
    <t>PEA</t>
  </si>
  <si>
    <t>PET</t>
  </si>
  <si>
    <t>Población en Edad de Trabajar</t>
  </si>
  <si>
    <t xml:space="preserve"> De 30 a 34  años</t>
  </si>
  <si>
    <t xml:space="preserve"> De 35 a 39  años</t>
  </si>
  <si>
    <t xml:space="preserve"> De 40 a 44  años</t>
  </si>
  <si>
    <t xml:space="preserve"> De 45 a 49  años</t>
  </si>
  <si>
    <t xml:space="preserve"> De 50 a 54  años</t>
  </si>
  <si>
    <t xml:space="preserve"> De 55 a 59  años</t>
  </si>
  <si>
    <t xml:space="preserve"> De 60 a 64  años</t>
  </si>
  <si>
    <t xml:space="preserve"> De 65 a 69  años</t>
  </si>
  <si>
    <t xml:space="preserve"> De 70 a 74  años</t>
  </si>
  <si>
    <t xml:space="preserve"> De 75 a 79  años</t>
  </si>
  <si>
    <t>TD</t>
  </si>
  <si>
    <t xml:space="preserve">Población Económicamente Activa </t>
  </si>
  <si>
    <t>Tasa de desocupación</t>
  </si>
  <si>
    <t>Desocupados / PEA</t>
  </si>
  <si>
    <t>Suma de Ocupados</t>
  </si>
  <si>
    <t>Suma de Desocupados</t>
  </si>
  <si>
    <t>Suma de Inactivos</t>
  </si>
  <si>
    <t>Suma de PEA</t>
  </si>
  <si>
    <t>Suma de PET</t>
  </si>
  <si>
    <t>Apartir 2017:             PET - PEA</t>
  </si>
  <si>
    <t>Del 2012 hasta 2016: Ocupados + Desocupados</t>
  </si>
  <si>
    <t>Del 2012 hasta 2016:              Ocupados + Desocupados + Inactivos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</si>
  <si>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</si>
  <si>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</si>
  <si>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</si>
  <si>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</si>
  <si>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</si>
  <si>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</si>
  <si>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</si>
  <si>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años y más</t>
  </si>
  <si>
    <t>PET - PEA</t>
  </si>
  <si>
    <t>Ocupados + Desocupados</t>
  </si>
  <si>
    <t>Ocupados + Desocupados + Inactivos</t>
  </si>
  <si>
    <t>Población Económicamente Activa (PEA)</t>
  </si>
  <si>
    <t>Población en Edad de Trabajar (PET)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</si>
</sst>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 vertical="center"/>
    </xf>
  </cellXfs>
  <cellStyles count="3">
    <cellStyle name="Millares 10" xfId="2" xr:uid="{1FF4E814-7C2E-4858-917D-25F4B68A3E33}"/>
    <cellStyle name="Millares 9" xfId="1" xr:uid="{70AC19F7-C227-4EF2-B54C-54C8710CDE77}"/>
    <cellStyle name="Normal" xfId="0" builtinId="0"/>
  </cellStyles>
  <dxfs count="29"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berto Tróchez Zúniga" refreshedDate="46023.725444444448" createdVersion="8" refreshedVersion="8" minRefreshableVersion="3" recordCount="100" xr:uid="{11C54215-49D2-4A39-8D77-D19E02EEDD00}">
  <cacheSource type="worksheet">
    <worksheetSource name="Tabla2"/>
  </cacheSource>
  <cacheFields count="9">
    <cacheField name="Año" numFmtId="0">
      <sharedItems containsSemiMixedTypes="0" containsString="0" containsNumber="1" containsInteger="1" minValue="2012" maxValue="2016" count="5">
        <n v="2012"/>
        <n v="2013"/>
        <n v="2014"/>
        <n v="2015"/>
        <n v="2016"/>
      </sharedItems>
    </cacheField>
    <cacheField name="Grupos de edad" numFmtId="0">
      <sharedItems count="10">
        <s v=" De 30 a 34  años"/>
        <s v=" De 35 a 39  años"/>
        <s v=" De 40 a 44  años"/>
        <s v=" De 45 a 49  años"/>
        <s v=" De 50 a 54  años"/>
        <s v=" De 55 a 59  años"/>
        <s v=" De 60 a 64  años"/>
        <s v=" De 65 a 69  años"/>
        <s v=" De 70 a 74  años"/>
        <s v=" De 75 a 79  años"/>
      </sharedItems>
    </cacheField>
    <cacheField name="Genero" numFmtId="0">
      <sharedItems count="2">
        <s v="Hombre"/>
        <s v="Mujer"/>
      </sharedItems>
    </cacheField>
    <cacheField name="Ocupados" numFmtId="4">
      <sharedItems containsSemiMixedTypes="0" containsString="0" containsNumber="1" minValue="10657.163254084136" maxValue="240558.36636666788" count="100">
        <n v="220914.58898618832"/>
        <n v="182825.91162182228"/>
        <n v="166564.00428147145"/>
        <n v="142883.95255251002"/>
        <n v="135695.88215305819"/>
        <n v="108617.35114644919"/>
        <n v="80565.289529953399"/>
        <n v="57241.072296777435"/>
        <n v="41054.680007996772"/>
        <n v="26963.033989664713"/>
        <n v="124371.00176554287"/>
        <n v="126032.00917622748"/>
        <n v="111902.70595816564"/>
        <n v="88348.849483674348"/>
        <n v="95219.156484193518"/>
        <n v="62001.670895355885"/>
        <n v="46598.680308264302"/>
        <n v="27250.300294394321"/>
        <n v="14575.130762205268"/>
        <n v="12339.253625801226"/>
        <n v="213069.22269573165"/>
        <n v="185582.47264939951"/>
        <n v="173047.84483122511"/>
        <n v="148546.81642515908"/>
        <n v="150136.42100153537"/>
        <n v="114312.52479330137"/>
        <n v="95149.984323435347"/>
        <n v="62362.344940264076"/>
        <n v="47778.152727818786"/>
        <n v="29196.483210665891"/>
        <n v="140595.77710999805"/>
        <n v="139823.09099328925"/>
        <n v="141370.27510732357"/>
        <n v="108641.96684038499"/>
        <n v="107895.06172272937"/>
        <n v="72546.366710537623"/>
        <n v="50890.465745232541"/>
        <n v="30813.768298813429"/>
        <n v="18211.621260510645"/>
        <n v="10890.532009679624"/>
        <n v="228717.49042301549"/>
        <n v="214631.61726837812"/>
        <n v="187948.82286669384"/>
        <n v="147044.87304033744"/>
        <n v="119628.30160450125"/>
        <n v="97839.636951615044"/>
        <n v="81241.475405838821"/>
        <n v="62553.969418935783"/>
        <n v="30606.658148448016"/>
        <n v="21094.228593997013"/>
        <n v="176241.93374946268"/>
        <n v="149773.02504969138"/>
        <n v="131215.61316601417"/>
        <n v="103720.77845619316"/>
        <n v="93858.110190618143"/>
        <n v="69710.91194393186"/>
        <n v="44186.889000385912"/>
        <n v="33853.188903372997"/>
        <n v="17131.220795647005"/>
        <n v="10812.493880986005"/>
        <n v="215734.65014690542"/>
        <n v="212344.63594083092"/>
        <n v="183565.23087209923"/>
        <n v="156097.25477653687"/>
        <n v="131992.1081603934"/>
        <n v="108299.70770387995"/>
        <n v="89180.155487982614"/>
        <n v="65504.35969796381"/>
        <n v="34643.255707748962"/>
        <n v="25274.271950401999"/>
        <n v="169335.72700445878"/>
        <n v="181221.13234498765"/>
        <n v="133323.51179607672"/>
        <n v="112687.71614574149"/>
        <n v="99428.840949216072"/>
        <n v="73303.662591039887"/>
        <n v="55706.720534515276"/>
        <n v="28536.908245975421"/>
        <n v="12555.971890528079"/>
        <n v="15031.537009779915"/>
        <n v="240558.36636666788"/>
        <n v="205659.94390175972"/>
        <n v="182030.85740263329"/>
        <n v="163717.63758402443"/>
        <n v="139459.14288332319"/>
        <n v="115781.63198187233"/>
        <n v="99214.863761153858"/>
        <n v="58853.204906909697"/>
        <n v="30639.913009279018"/>
        <n v="25189.558756238563"/>
        <n v="174916.98445619436"/>
        <n v="166459.43109449794"/>
        <n v="148976.20552456495"/>
        <n v="119654.75712872228"/>
        <n v="98903.40497366029"/>
        <n v="71829.113277370008"/>
        <n v="48761.492785343893"/>
        <n v="31213.538754364312"/>
        <n v="20143.050118829891"/>
        <n v="10657.163254084136"/>
      </sharedItems>
    </cacheField>
    <cacheField name="Desocupados" numFmtId="4">
      <sharedItems containsSemiMixedTypes="0" containsString="0" containsNumber="1" minValue="0" maxValue="16509.529964606001" count="79">
        <n v="5966.7139499172963"/>
        <n v="5008.0597946367279"/>
        <n v="4184.6202169620628"/>
        <n v="2993.24691326115"/>
        <n v="2449.0395956235648"/>
        <n v="2123.3807365407351"/>
        <n v="1213.954806610315"/>
        <n v="520.26080679270251"/>
        <n v="172.04431494494997"/>
        <n v="0"/>
        <n v="6141.3128336179834"/>
        <n v="3574.2213258112724"/>
        <n v="2169.8312057309649"/>
        <n v="410.3189756851325"/>
        <n v="798.11909088737002"/>
        <n v="479.32707764028498"/>
        <n v="6154.1085196335807"/>
        <n v="6227.6271631774407"/>
        <n v="2637.78213508102"/>
        <n v="3027.5179810305799"/>
        <n v="5447.6373133882007"/>
        <n v="2293.7234404728797"/>
        <n v="609.85612857564001"/>
        <n v="538.71001407005997"/>
        <n v="470.97274438299996"/>
        <n v="11078.872531802755"/>
        <n v="5878.3052526026213"/>
        <n v="2457.5576299395598"/>
        <n v="1396.52791747422"/>
        <n v="1036.0789071913"/>
        <n v="180.22450514145999"/>
        <n v="9005.6776300639995"/>
        <n v="8002.8334934279992"/>
        <n v="5196.9872882030004"/>
        <n v="4041.648531331"/>
        <n v="4753.2904506649993"/>
        <n v="1633.702000366"/>
        <n v="2303.2192865659999"/>
        <n v="1168.8393494949999"/>
        <n v="16509.529964606001"/>
        <n v="7690.3256572700002"/>
        <n v="7050.1431448749991"/>
        <n v="4304.0619396460006"/>
        <n v="735.31932628799996"/>
        <n v="824.16632619500001"/>
        <n v="7684.7915591016008"/>
        <n v="6086.7864088652805"/>
        <n v="3153.8007864554797"/>
        <n v="4996.5468275575195"/>
        <n v="4107.2914714449998"/>
        <n v="1835.6255245620996"/>
        <n v="2421.1753468508805"/>
        <n v="893.50923097500004"/>
        <n v="752.80548051096002"/>
        <n v="13669.042107611238"/>
        <n v="8212.848893537619"/>
        <n v="9726.7321374042585"/>
        <n v="10554.088965369319"/>
        <n v="7699.3106663334211"/>
        <n v="2158.2706256091401"/>
        <n v="1515.8035994248801"/>
        <n v="842.36494892279995"/>
        <n v="8538.5496098920848"/>
        <n v="5008.7796937839275"/>
        <n v="6372.4442502108459"/>
        <n v="2880.1754663029419"/>
        <n v="4591.0066734572702"/>
        <n v="6516.4099098966253"/>
        <n v="2585.9098987815169"/>
        <n v="1446.0243356881319"/>
        <n v="714.322274608886"/>
        <n v="11947.80098723536"/>
        <n v="10509.041904594946"/>
        <n v="6832.9682097186014"/>
        <n v="2602.6471216948771"/>
        <n v="2536.66609890881"/>
        <n v="1929.3099262590458"/>
        <n v="693.41761091725539"/>
        <n v="566.84167609121346"/>
      </sharedItems>
    </cacheField>
    <cacheField name="Inactivos" numFmtId="4">
      <sharedItems containsSemiMixedTypes="0" containsString="0" containsNumber="1" minValue="4454.8630285000399" maxValue="139175.30161987274" count="100">
        <n v="13853.314649295962"/>
        <n v="12087.09018426144"/>
        <n v="7010.130550300938"/>
        <n v="7388.882623213327"/>
        <n v="9612.7995921999354"/>
        <n v="11830.430459126832"/>
        <n v="14796.929235238695"/>
        <n v="18878.439206804269"/>
        <n v="21028.306120808087"/>
        <n v="28767.177846331"/>
        <n v="135381.39816025403"/>
        <n v="119597.09511347151"/>
        <n v="106936.2142122832"/>
        <n v="91222.474624644237"/>
        <n v="103051.88968164938"/>
        <n v="75515.747302855307"/>
        <n v="76702.69926916025"/>
        <n v="77561.618478376011"/>
        <n v="59422.941516379069"/>
        <n v="48438.573658574249"/>
        <n v="11342.223751459447"/>
        <n v="11143.347972790867"/>
        <n v="4454.8630285000399"/>
        <n v="5992.6468592051824"/>
        <n v="10407.095952330485"/>
        <n v="10699.289535036225"/>
        <n v="15355.476997495442"/>
        <n v="19287.944201347891"/>
        <n v="19928.12348137041"/>
        <n v="21001.17447516408"/>
        <n v="139175.30161987274"/>
        <n v="114186.59625964364"/>
        <n v="91494.477098192205"/>
        <n v="92206.678878631123"/>
        <n v="86869.115687025958"/>
        <n v="77281.905361969184"/>
        <n v="82842.546306375472"/>
        <n v="62703.137699552492"/>
        <n v="56592.033904744159"/>
        <n v="51736.883271772189"/>
        <n v="12189.799869698003"/>
        <n v="9217.0331055290007"/>
        <n v="7394.319326509999"/>
        <n v="6183.0353363419999"/>
        <n v="9153.4710541730019"/>
        <n v="9061.5371848079976"/>
        <n v="14870.4457874"/>
        <n v="22053.368814235004"/>
        <n v="20800.469775697999"/>
        <n v="18012.053708614003"/>
        <n v="113486.63489115909"/>
        <n v="113184.74744427911"/>
        <n v="86882.106427582941"/>
        <n v="83540.617293573843"/>
        <n v="88448.628043193981"/>
        <n v="68500.520739895786"/>
        <n v="73065.569965763862"/>
        <n v="60886.34701496076"/>
        <n v="56057.568527185846"/>
        <n v="38101.970540342954"/>
        <n v="11530.48485829108"/>
        <n v="7113.4828920356995"/>
        <n v="5755.4095003081611"/>
        <n v="8235.9992593873012"/>
        <n v="9779.7108564916816"/>
        <n v="14156.951460375538"/>
        <n v="17969.492096712162"/>
        <n v="19858.759615691975"/>
        <n v="19265.430992637219"/>
        <n v="22182.192813354744"/>
        <n v="135185.31184423278"/>
        <n v="118537.62629024238"/>
        <n v="86075.445278907282"/>
        <n v="78240.747159326304"/>
        <n v="77369.553956621152"/>
        <n v="77360.377572906727"/>
        <n v="73088.844114502528"/>
        <n v="65248.875311757467"/>
        <n v="55261.818139524505"/>
        <n v="38983.850728456986"/>
        <n v="13612.338006756179"/>
        <n v="6597.6736250264712"/>
        <n v="7132.0002414971559"/>
        <n v="8219.8735915659836"/>
        <n v="12093.29863793826"/>
        <n v="13405.72342436154"/>
        <n v="17721.14258807819"/>
        <n v="26691.805450933876"/>
        <n v="21211.957583256135"/>
        <n v="25374.732334576423"/>
        <n v="130319.65142317774"/>
        <n v="106318.6952401873"/>
        <n v="102348.58687475692"/>
        <n v="87996.475946675826"/>
        <n v="90992.274222321968"/>
        <n v="85066.674288381517"/>
        <n v="75830.948509467344"/>
        <n v="72175.999539853234"/>
        <n v="55876.949105187356"/>
        <n v="49125.000898937658"/>
      </sharedItems>
    </cacheField>
    <cacheField name="PEA" numFmtId="4">
      <sharedItems containsSemiMixedTypes="0" containsString="0" containsNumber="1" minValue="10657.163254084136" maxValue="249096.91597655998" count="100">
        <n v="226881.30293610561"/>
        <n v="187833.97141645901"/>
        <n v="170748.62449843352"/>
        <n v="145877.19946577118"/>
        <n v="138144.92174868175"/>
        <n v="110740.73188298993"/>
        <n v="81779.244336563715"/>
        <n v="57761.333103570134"/>
        <n v="41226.724322941722"/>
        <n v="26963.033989664713"/>
        <n v="130512.31459916085"/>
        <n v="129606.23050203876"/>
        <n v="114072.5371638966"/>
        <n v="88759.168459359484"/>
        <n v="96017.275575080886"/>
        <n v="62480.997972996171"/>
        <n v="46598.680308264302"/>
        <n v="27250.300294394321"/>
        <n v="14575.130762205268"/>
        <n v="12339.253625801226"/>
        <n v="219223.33121536524"/>
        <n v="191810.09981257695"/>
        <n v="175685.62696630612"/>
        <n v="151574.33440618965"/>
        <n v="155584.05831492358"/>
        <n v="116606.24823377425"/>
        <n v="95759.840452010991"/>
        <n v="62901.054954334133"/>
        <n v="48249.125472201784"/>
        <n v="29196.483210665891"/>
        <n v="151674.64964180079"/>
        <n v="145701.39624589187"/>
        <n v="143827.83273726312"/>
        <n v="110038.49475785921"/>
        <n v="108931.14062992067"/>
        <n v="72726.591215679087"/>
        <n v="51070.690250373998"/>
        <n v="30813.768298813429"/>
        <n v="18211.621260510645"/>
        <n v="10890.532009679624"/>
        <n v="237723.16805307948"/>
        <n v="222634.4507618061"/>
        <n v="193145.81015489684"/>
        <n v="151086.52157166845"/>
        <n v="124381.59205516624"/>
        <n v="99473.338951981044"/>
        <n v="83544.694692404824"/>
        <n v="63722.808768430783"/>
        <n v="30606.658148448016"/>
        <n v="21094.228593997013"/>
        <n v="192751.4637140687"/>
        <n v="157463.35070696138"/>
        <n v="138265.75631088918"/>
        <n v="108024.84039583916"/>
        <n v="94593.429516906137"/>
        <n v="70535.078270126862"/>
        <n v="44186.889000385912"/>
        <n v="33853.188903372997"/>
        <n v="17131.220795647005"/>
        <n v="10812.493880986005"/>
        <n v="223419.44170600703"/>
        <n v="218431.42234969619"/>
        <n v="186719.03165855471"/>
        <n v="161093.80160409439"/>
        <n v="136099.3996318384"/>
        <n v="110135.33322844205"/>
        <n v="91601.330834833498"/>
        <n v="66397.868928938813"/>
        <n v="35396.061188259919"/>
        <n v="25274.271950401999"/>
        <n v="183004.76911207"/>
        <n v="189433.98123852527"/>
        <n v="143050.24393348099"/>
        <n v="123241.80511111081"/>
        <n v="107128.15161554949"/>
        <n v="75461.93321664902"/>
        <n v="57222.524133940155"/>
        <n v="29379.273194898222"/>
        <n v="12555.971890528079"/>
        <n v="15031.537009779915"/>
        <n v="249096.91597655998"/>
        <n v="210668.72359554365"/>
        <n v="188403.30165284415"/>
        <n v="166597.81305032736"/>
        <n v="144050.14955678047"/>
        <n v="122298.04189176895"/>
        <n v="101800.77365993538"/>
        <n v="60299.22924259783"/>
        <n v="31354.235283887905"/>
        <n v="25189.558756238563"/>
        <n v="186864.78544342972"/>
        <n v="176968.47299909289"/>
        <n v="155809.17373428354"/>
        <n v="122257.40425041715"/>
        <n v="101440.0710725691"/>
        <n v="73758.423203629049"/>
        <n v="49454.910396261148"/>
        <n v="31780.380430455527"/>
        <n v="20143.050118829891"/>
        <n v="10657.163254084136"/>
      </sharedItems>
    </cacheField>
    <cacheField name="PET" numFmtId="4">
      <sharedItems containsSemiMixedTypes="0" containsString="0" containsNumber="1" minValue="39106.282302611013" maxValue="318190.08095630282" count="100">
        <n v="240734.61758540157"/>
        <n v="199921.06160072045"/>
        <n v="177758.75504873446"/>
        <n v="153266.08208898449"/>
        <n v="147757.72134088169"/>
        <n v="122571.16234211676"/>
        <n v="96576.173571802414"/>
        <n v="76639.772310374407"/>
        <n v="62255.030443749813"/>
        <n v="55730.211835995709"/>
        <n v="265893.71275941486"/>
        <n v="249203.32561551029"/>
        <n v="221008.7513761798"/>
        <n v="179981.64308400371"/>
        <n v="199069.16525673028"/>
        <n v="137996.74527585148"/>
        <n v="123301.37957742455"/>
        <n v="104811.91877277032"/>
        <n v="73998.072278584339"/>
        <n v="60777.827284375475"/>
        <n v="230565.55496682468"/>
        <n v="202953.44778536781"/>
        <n v="180140.48999480618"/>
        <n v="157566.98126539483"/>
        <n v="165991.15426725405"/>
        <n v="127305.53776881048"/>
        <n v="111115.31744950643"/>
        <n v="82188.999155682017"/>
        <n v="68177.248953572198"/>
        <n v="50197.657685829967"/>
        <n v="290849.95126167353"/>
        <n v="259887.99250553551"/>
        <n v="235322.30983545532"/>
        <n v="202245.17363649033"/>
        <n v="195800.25631694664"/>
        <n v="150008.49657764827"/>
        <n v="133913.23655674947"/>
        <n v="93516.905998365924"/>
        <n v="74803.655165254808"/>
        <n v="62627.415281451817"/>
        <n v="249912.96792277749"/>
        <n v="231851.4838673351"/>
        <n v="200540.12948140685"/>
        <n v="157269.55690801045"/>
        <n v="133535.06310933924"/>
        <n v="108534.87613678904"/>
        <n v="98415.140479804832"/>
        <n v="85776.177582665783"/>
        <n v="51407.127924146014"/>
        <n v="39106.282302611013"/>
        <n v="306238.09860522777"/>
        <n v="270648.0981512405"/>
        <n v="225147.86273847212"/>
        <n v="191565.45768941299"/>
        <n v="183042.0575601001"/>
        <n v="139035.59901002265"/>
        <n v="117252.45896614977"/>
        <n v="94739.535918333757"/>
        <n v="73188.789322832847"/>
        <n v="48914.464421328958"/>
        <n v="234949.9265642981"/>
        <n v="225544.9052417319"/>
        <n v="192474.44115886287"/>
        <n v="169329.80086348168"/>
        <n v="145879.11048833007"/>
        <n v="124292.28468881758"/>
        <n v="109570.82293154566"/>
        <n v="86256.628544630788"/>
        <n v="54661.492180897141"/>
        <n v="47456.46476375674"/>
        <n v="318190.08095630282"/>
        <n v="307971.60752876766"/>
        <n v="229125.68921238827"/>
        <n v="201482.55227043713"/>
        <n v="184497.70557217064"/>
        <n v="152822.31078955575"/>
        <n v="130311.36824844268"/>
        <n v="94628.148506655692"/>
        <n v="67817.79003005258"/>
        <n v="54015.387738236903"/>
        <n v="262709.25398331613"/>
        <n v="217266.39722057013"/>
        <n v="195535.3018943413"/>
        <n v="174817.68664189335"/>
        <n v="156143.44819471872"/>
        <n v="135703.76531613051"/>
        <n v="119521.91624801357"/>
        <n v="86991.034693531707"/>
        <n v="52566.19286714404"/>
        <n v="50564.291090814986"/>
        <n v="317184.43686660746"/>
        <n v="283287.16823928017"/>
        <n v="258157.76060904044"/>
        <n v="210253.88019709298"/>
        <n v="192432.34529489107"/>
        <n v="158825.09749201057"/>
        <n v="125285.8589057285"/>
        <n v="103956.37997030876"/>
        <n v="76019.999224017243"/>
        <n v="59782.164153021797"/>
      </sharedItems>
    </cacheField>
    <cacheField name="TD" numFmtId="4">
      <sharedItems containsSemiMixedTypes="0" containsString="0" containsNumber="1" minValue="0" maxValue="8.5651904512105609E-2" count="80">
        <n v="2.6298834997424376E-2"/>
        <n v="2.6662162104495093E-2"/>
        <n v="2.4507490055947441E-2"/>
        <n v="2.0518949666040783E-2"/>
        <n v="1.7728046493659364E-2"/>
        <n v="1.9174342632883503E-2"/>
        <n v="1.4844289849564587E-2"/>
        <n v="9.0070775523798646E-3"/>
        <n v="4.1731259946163439E-3"/>
        <n v="0"/>
        <n v="4.705542808339306E-2"/>
        <n v="2.7577542468184418E-2"/>
        <n v="1.9021503857790112E-2"/>
        <n v="4.6228348328094908E-3"/>
        <n v="8.312244709164647E-3"/>
        <n v="7.6715656470059367E-3"/>
        <n v="2.8072324626742296E-2"/>
        <n v="3.2467670728823096E-2"/>
        <n v="1.5014217045694393E-2"/>
        <n v="1.9973816760543526E-2"/>
        <n v="3.5014109879827351E-2"/>
        <n v="1.9670673529212455E-2"/>
        <n v="6.3686000905699381E-3"/>
        <n v="8.5644034819632332E-3"/>
        <n v="9.7612700701559009E-3"/>
        <n v="7.3043666545246286E-2"/>
        <n v="4.03448793495578E-2"/>
        <n v="1.7086801512394979E-2"/>
        <n v="1.2691267002036818E-2"/>
        <n v="9.5113197309779646E-3"/>
        <n v="2.4781101675312054E-3"/>
        <n v="3.5289224456906605E-3"/>
        <n v="3.7883045661132979E-2"/>
        <n v="3.5946069739180367E-2"/>
        <n v="2.6907067173940664E-2"/>
        <n v="2.6750556497614708E-2"/>
        <n v="3.8215385187840338E-2"/>
        <n v="1.6423516266550982E-2"/>
        <n v="2.7568707923896322E-2"/>
        <n v="1.8342558529436011E-2"/>
        <n v="8.5651904512105609E-2"/>
        <n v="4.883882898936695E-2"/>
        <n v="5.0989799159112267E-2"/>
        <n v="3.9843261270967656E-2"/>
        <n v="7.7734714772824745E-3"/>
        <n v="1.1684488716928983E-2"/>
        <n v="3.4396252628783569E-2"/>
        <n v="2.7865891927951119E-2"/>
        <n v="1.6890623084542894E-2"/>
        <n v="3.1016381622410768E-2"/>
        <n v="3.0178615648236564E-2"/>
        <n v="1.6666999324863856E-2"/>
        <n v="2.643166125191462E-2"/>
        <n v="1.3456896213510452E-2"/>
        <n v="2.1268057948793714E-2"/>
        <n v="7.4692272632744749E-2"/>
        <n v="4.3354676071535619E-2"/>
        <n v="6.7995215316984936E-2"/>
        <n v="8.5637247489633042E-2"/>
        <n v="7.187009717075972E-2"/>
        <n v="2.8600786298607111E-2"/>
        <n v="2.6489631877769926E-2"/>
        <n v="2.8672082639167484E-2"/>
        <n v="3.4278022176298488E-2"/>
        <n v="2.3775620833969301E-2"/>
        <n v="3.3823421321739065E-2"/>
        <n v="1.7288194926261564E-2"/>
        <n v="3.187089140541035E-2"/>
        <n v="5.3283027341218619E-2"/>
        <n v="2.5401672362724146E-2"/>
        <n v="2.3980809603227921E-2"/>
        <n v="2.2782321690873991E-2"/>
        <n v="6.3938215854224517E-2"/>
        <n v="5.9383695448673578E-2"/>
        <n v="4.385472335134466E-2"/>
        <n v="2.1288257653204645E-2"/>
        <n v="2.5006548911959133E-2"/>
        <n v="2.6157147108916506E-2"/>
        <n v="1.4021208518248141E-2"/>
        <n v="1.783621430623285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1"/>
  </r>
  <r>
    <x v="0"/>
    <x v="2"/>
    <x v="0"/>
    <x v="2"/>
    <x v="2"/>
    <x v="2"/>
    <x v="2"/>
    <x v="2"/>
    <x v="2"/>
  </r>
  <r>
    <x v="0"/>
    <x v="3"/>
    <x v="0"/>
    <x v="3"/>
    <x v="3"/>
    <x v="3"/>
    <x v="3"/>
    <x v="3"/>
    <x v="3"/>
  </r>
  <r>
    <x v="0"/>
    <x v="4"/>
    <x v="0"/>
    <x v="4"/>
    <x v="4"/>
    <x v="4"/>
    <x v="4"/>
    <x v="4"/>
    <x v="4"/>
  </r>
  <r>
    <x v="0"/>
    <x v="5"/>
    <x v="0"/>
    <x v="5"/>
    <x v="5"/>
    <x v="5"/>
    <x v="5"/>
    <x v="5"/>
    <x v="5"/>
  </r>
  <r>
    <x v="0"/>
    <x v="6"/>
    <x v="0"/>
    <x v="6"/>
    <x v="6"/>
    <x v="6"/>
    <x v="6"/>
    <x v="6"/>
    <x v="6"/>
  </r>
  <r>
    <x v="0"/>
    <x v="7"/>
    <x v="0"/>
    <x v="7"/>
    <x v="7"/>
    <x v="7"/>
    <x v="7"/>
    <x v="7"/>
    <x v="7"/>
  </r>
  <r>
    <x v="0"/>
    <x v="8"/>
    <x v="0"/>
    <x v="8"/>
    <x v="8"/>
    <x v="8"/>
    <x v="8"/>
    <x v="8"/>
    <x v="8"/>
  </r>
  <r>
    <x v="0"/>
    <x v="9"/>
    <x v="0"/>
    <x v="9"/>
    <x v="9"/>
    <x v="9"/>
    <x v="9"/>
    <x v="9"/>
    <x v="9"/>
  </r>
  <r>
    <x v="0"/>
    <x v="0"/>
    <x v="1"/>
    <x v="10"/>
    <x v="10"/>
    <x v="10"/>
    <x v="10"/>
    <x v="10"/>
    <x v="10"/>
  </r>
  <r>
    <x v="0"/>
    <x v="1"/>
    <x v="1"/>
    <x v="11"/>
    <x v="11"/>
    <x v="11"/>
    <x v="11"/>
    <x v="11"/>
    <x v="11"/>
  </r>
  <r>
    <x v="0"/>
    <x v="2"/>
    <x v="1"/>
    <x v="12"/>
    <x v="12"/>
    <x v="12"/>
    <x v="12"/>
    <x v="12"/>
    <x v="12"/>
  </r>
  <r>
    <x v="0"/>
    <x v="3"/>
    <x v="1"/>
    <x v="13"/>
    <x v="13"/>
    <x v="13"/>
    <x v="13"/>
    <x v="13"/>
    <x v="13"/>
  </r>
  <r>
    <x v="0"/>
    <x v="4"/>
    <x v="1"/>
    <x v="14"/>
    <x v="14"/>
    <x v="14"/>
    <x v="14"/>
    <x v="14"/>
    <x v="14"/>
  </r>
  <r>
    <x v="0"/>
    <x v="5"/>
    <x v="1"/>
    <x v="15"/>
    <x v="15"/>
    <x v="15"/>
    <x v="15"/>
    <x v="15"/>
    <x v="15"/>
  </r>
  <r>
    <x v="0"/>
    <x v="6"/>
    <x v="1"/>
    <x v="16"/>
    <x v="9"/>
    <x v="16"/>
    <x v="16"/>
    <x v="16"/>
    <x v="9"/>
  </r>
  <r>
    <x v="0"/>
    <x v="7"/>
    <x v="1"/>
    <x v="17"/>
    <x v="9"/>
    <x v="17"/>
    <x v="17"/>
    <x v="17"/>
    <x v="9"/>
  </r>
  <r>
    <x v="0"/>
    <x v="8"/>
    <x v="1"/>
    <x v="18"/>
    <x v="9"/>
    <x v="18"/>
    <x v="18"/>
    <x v="18"/>
    <x v="9"/>
  </r>
  <r>
    <x v="0"/>
    <x v="9"/>
    <x v="1"/>
    <x v="19"/>
    <x v="9"/>
    <x v="19"/>
    <x v="19"/>
    <x v="19"/>
    <x v="9"/>
  </r>
  <r>
    <x v="1"/>
    <x v="0"/>
    <x v="0"/>
    <x v="20"/>
    <x v="16"/>
    <x v="20"/>
    <x v="20"/>
    <x v="20"/>
    <x v="16"/>
  </r>
  <r>
    <x v="1"/>
    <x v="1"/>
    <x v="0"/>
    <x v="21"/>
    <x v="17"/>
    <x v="21"/>
    <x v="21"/>
    <x v="21"/>
    <x v="17"/>
  </r>
  <r>
    <x v="1"/>
    <x v="2"/>
    <x v="0"/>
    <x v="22"/>
    <x v="18"/>
    <x v="22"/>
    <x v="22"/>
    <x v="22"/>
    <x v="18"/>
  </r>
  <r>
    <x v="1"/>
    <x v="3"/>
    <x v="0"/>
    <x v="23"/>
    <x v="19"/>
    <x v="23"/>
    <x v="23"/>
    <x v="23"/>
    <x v="19"/>
  </r>
  <r>
    <x v="1"/>
    <x v="4"/>
    <x v="0"/>
    <x v="24"/>
    <x v="20"/>
    <x v="24"/>
    <x v="24"/>
    <x v="24"/>
    <x v="20"/>
  </r>
  <r>
    <x v="1"/>
    <x v="5"/>
    <x v="0"/>
    <x v="25"/>
    <x v="21"/>
    <x v="25"/>
    <x v="25"/>
    <x v="25"/>
    <x v="21"/>
  </r>
  <r>
    <x v="1"/>
    <x v="6"/>
    <x v="0"/>
    <x v="26"/>
    <x v="22"/>
    <x v="26"/>
    <x v="26"/>
    <x v="26"/>
    <x v="22"/>
  </r>
  <r>
    <x v="1"/>
    <x v="7"/>
    <x v="0"/>
    <x v="27"/>
    <x v="23"/>
    <x v="27"/>
    <x v="27"/>
    <x v="27"/>
    <x v="23"/>
  </r>
  <r>
    <x v="1"/>
    <x v="8"/>
    <x v="0"/>
    <x v="28"/>
    <x v="24"/>
    <x v="28"/>
    <x v="28"/>
    <x v="28"/>
    <x v="24"/>
  </r>
  <r>
    <x v="1"/>
    <x v="9"/>
    <x v="0"/>
    <x v="29"/>
    <x v="9"/>
    <x v="29"/>
    <x v="29"/>
    <x v="29"/>
    <x v="9"/>
  </r>
  <r>
    <x v="1"/>
    <x v="0"/>
    <x v="1"/>
    <x v="30"/>
    <x v="25"/>
    <x v="30"/>
    <x v="30"/>
    <x v="30"/>
    <x v="25"/>
  </r>
  <r>
    <x v="1"/>
    <x v="1"/>
    <x v="1"/>
    <x v="31"/>
    <x v="26"/>
    <x v="31"/>
    <x v="31"/>
    <x v="31"/>
    <x v="26"/>
  </r>
  <r>
    <x v="1"/>
    <x v="2"/>
    <x v="1"/>
    <x v="32"/>
    <x v="27"/>
    <x v="32"/>
    <x v="32"/>
    <x v="32"/>
    <x v="27"/>
  </r>
  <r>
    <x v="1"/>
    <x v="3"/>
    <x v="1"/>
    <x v="33"/>
    <x v="28"/>
    <x v="33"/>
    <x v="33"/>
    <x v="33"/>
    <x v="28"/>
  </r>
  <r>
    <x v="1"/>
    <x v="4"/>
    <x v="1"/>
    <x v="34"/>
    <x v="29"/>
    <x v="34"/>
    <x v="34"/>
    <x v="34"/>
    <x v="29"/>
  </r>
  <r>
    <x v="1"/>
    <x v="5"/>
    <x v="1"/>
    <x v="35"/>
    <x v="30"/>
    <x v="35"/>
    <x v="35"/>
    <x v="35"/>
    <x v="30"/>
  </r>
  <r>
    <x v="1"/>
    <x v="6"/>
    <x v="1"/>
    <x v="36"/>
    <x v="30"/>
    <x v="36"/>
    <x v="36"/>
    <x v="36"/>
    <x v="31"/>
  </r>
  <r>
    <x v="1"/>
    <x v="7"/>
    <x v="1"/>
    <x v="37"/>
    <x v="9"/>
    <x v="37"/>
    <x v="37"/>
    <x v="37"/>
    <x v="9"/>
  </r>
  <r>
    <x v="1"/>
    <x v="8"/>
    <x v="1"/>
    <x v="38"/>
    <x v="9"/>
    <x v="38"/>
    <x v="38"/>
    <x v="38"/>
    <x v="9"/>
  </r>
  <r>
    <x v="1"/>
    <x v="9"/>
    <x v="1"/>
    <x v="39"/>
    <x v="9"/>
    <x v="39"/>
    <x v="39"/>
    <x v="39"/>
    <x v="9"/>
  </r>
  <r>
    <x v="2"/>
    <x v="0"/>
    <x v="0"/>
    <x v="40"/>
    <x v="31"/>
    <x v="40"/>
    <x v="40"/>
    <x v="40"/>
    <x v="32"/>
  </r>
  <r>
    <x v="2"/>
    <x v="1"/>
    <x v="0"/>
    <x v="41"/>
    <x v="32"/>
    <x v="41"/>
    <x v="41"/>
    <x v="41"/>
    <x v="33"/>
  </r>
  <r>
    <x v="2"/>
    <x v="2"/>
    <x v="0"/>
    <x v="42"/>
    <x v="33"/>
    <x v="42"/>
    <x v="42"/>
    <x v="42"/>
    <x v="34"/>
  </r>
  <r>
    <x v="2"/>
    <x v="3"/>
    <x v="0"/>
    <x v="43"/>
    <x v="34"/>
    <x v="43"/>
    <x v="43"/>
    <x v="43"/>
    <x v="35"/>
  </r>
  <r>
    <x v="2"/>
    <x v="4"/>
    <x v="0"/>
    <x v="44"/>
    <x v="35"/>
    <x v="44"/>
    <x v="44"/>
    <x v="44"/>
    <x v="36"/>
  </r>
  <r>
    <x v="2"/>
    <x v="5"/>
    <x v="0"/>
    <x v="45"/>
    <x v="36"/>
    <x v="45"/>
    <x v="45"/>
    <x v="45"/>
    <x v="37"/>
  </r>
  <r>
    <x v="2"/>
    <x v="6"/>
    <x v="0"/>
    <x v="46"/>
    <x v="37"/>
    <x v="46"/>
    <x v="46"/>
    <x v="46"/>
    <x v="38"/>
  </r>
  <r>
    <x v="2"/>
    <x v="7"/>
    <x v="0"/>
    <x v="47"/>
    <x v="38"/>
    <x v="47"/>
    <x v="47"/>
    <x v="47"/>
    <x v="39"/>
  </r>
  <r>
    <x v="2"/>
    <x v="8"/>
    <x v="0"/>
    <x v="48"/>
    <x v="9"/>
    <x v="48"/>
    <x v="48"/>
    <x v="48"/>
    <x v="9"/>
  </r>
  <r>
    <x v="2"/>
    <x v="9"/>
    <x v="0"/>
    <x v="49"/>
    <x v="9"/>
    <x v="49"/>
    <x v="49"/>
    <x v="49"/>
    <x v="9"/>
  </r>
  <r>
    <x v="2"/>
    <x v="0"/>
    <x v="1"/>
    <x v="50"/>
    <x v="39"/>
    <x v="50"/>
    <x v="50"/>
    <x v="50"/>
    <x v="40"/>
  </r>
  <r>
    <x v="2"/>
    <x v="1"/>
    <x v="1"/>
    <x v="51"/>
    <x v="40"/>
    <x v="51"/>
    <x v="51"/>
    <x v="51"/>
    <x v="41"/>
  </r>
  <r>
    <x v="2"/>
    <x v="2"/>
    <x v="1"/>
    <x v="52"/>
    <x v="41"/>
    <x v="52"/>
    <x v="52"/>
    <x v="52"/>
    <x v="42"/>
  </r>
  <r>
    <x v="2"/>
    <x v="3"/>
    <x v="1"/>
    <x v="53"/>
    <x v="42"/>
    <x v="53"/>
    <x v="53"/>
    <x v="53"/>
    <x v="43"/>
  </r>
  <r>
    <x v="2"/>
    <x v="4"/>
    <x v="1"/>
    <x v="54"/>
    <x v="43"/>
    <x v="54"/>
    <x v="54"/>
    <x v="54"/>
    <x v="44"/>
  </r>
  <r>
    <x v="2"/>
    <x v="5"/>
    <x v="1"/>
    <x v="55"/>
    <x v="44"/>
    <x v="55"/>
    <x v="55"/>
    <x v="55"/>
    <x v="45"/>
  </r>
  <r>
    <x v="2"/>
    <x v="6"/>
    <x v="1"/>
    <x v="56"/>
    <x v="9"/>
    <x v="56"/>
    <x v="56"/>
    <x v="56"/>
    <x v="9"/>
  </r>
  <r>
    <x v="2"/>
    <x v="7"/>
    <x v="1"/>
    <x v="57"/>
    <x v="9"/>
    <x v="57"/>
    <x v="57"/>
    <x v="57"/>
    <x v="9"/>
  </r>
  <r>
    <x v="2"/>
    <x v="8"/>
    <x v="1"/>
    <x v="58"/>
    <x v="9"/>
    <x v="58"/>
    <x v="58"/>
    <x v="58"/>
    <x v="9"/>
  </r>
  <r>
    <x v="2"/>
    <x v="9"/>
    <x v="1"/>
    <x v="59"/>
    <x v="9"/>
    <x v="59"/>
    <x v="59"/>
    <x v="59"/>
    <x v="9"/>
  </r>
  <r>
    <x v="3"/>
    <x v="0"/>
    <x v="0"/>
    <x v="60"/>
    <x v="45"/>
    <x v="60"/>
    <x v="60"/>
    <x v="60"/>
    <x v="46"/>
  </r>
  <r>
    <x v="3"/>
    <x v="1"/>
    <x v="0"/>
    <x v="61"/>
    <x v="46"/>
    <x v="61"/>
    <x v="61"/>
    <x v="61"/>
    <x v="47"/>
  </r>
  <r>
    <x v="3"/>
    <x v="2"/>
    <x v="0"/>
    <x v="62"/>
    <x v="47"/>
    <x v="62"/>
    <x v="62"/>
    <x v="62"/>
    <x v="48"/>
  </r>
  <r>
    <x v="3"/>
    <x v="3"/>
    <x v="0"/>
    <x v="63"/>
    <x v="48"/>
    <x v="63"/>
    <x v="63"/>
    <x v="63"/>
    <x v="49"/>
  </r>
  <r>
    <x v="3"/>
    <x v="4"/>
    <x v="0"/>
    <x v="64"/>
    <x v="49"/>
    <x v="64"/>
    <x v="64"/>
    <x v="64"/>
    <x v="50"/>
  </r>
  <r>
    <x v="3"/>
    <x v="5"/>
    <x v="0"/>
    <x v="65"/>
    <x v="50"/>
    <x v="65"/>
    <x v="65"/>
    <x v="65"/>
    <x v="51"/>
  </r>
  <r>
    <x v="3"/>
    <x v="6"/>
    <x v="0"/>
    <x v="66"/>
    <x v="51"/>
    <x v="66"/>
    <x v="66"/>
    <x v="66"/>
    <x v="52"/>
  </r>
  <r>
    <x v="3"/>
    <x v="7"/>
    <x v="0"/>
    <x v="67"/>
    <x v="52"/>
    <x v="67"/>
    <x v="67"/>
    <x v="67"/>
    <x v="53"/>
  </r>
  <r>
    <x v="3"/>
    <x v="8"/>
    <x v="0"/>
    <x v="68"/>
    <x v="53"/>
    <x v="68"/>
    <x v="68"/>
    <x v="68"/>
    <x v="54"/>
  </r>
  <r>
    <x v="3"/>
    <x v="9"/>
    <x v="0"/>
    <x v="69"/>
    <x v="9"/>
    <x v="69"/>
    <x v="69"/>
    <x v="69"/>
    <x v="9"/>
  </r>
  <r>
    <x v="3"/>
    <x v="0"/>
    <x v="1"/>
    <x v="70"/>
    <x v="54"/>
    <x v="70"/>
    <x v="70"/>
    <x v="70"/>
    <x v="55"/>
  </r>
  <r>
    <x v="3"/>
    <x v="1"/>
    <x v="1"/>
    <x v="71"/>
    <x v="55"/>
    <x v="71"/>
    <x v="71"/>
    <x v="71"/>
    <x v="56"/>
  </r>
  <r>
    <x v="3"/>
    <x v="2"/>
    <x v="1"/>
    <x v="72"/>
    <x v="56"/>
    <x v="72"/>
    <x v="72"/>
    <x v="72"/>
    <x v="57"/>
  </r>
  <r>
    <x v="3"/>
    <x v="3"/>
    <x v="1"/>
    <x v="73"/>
    <x v="57"/>
    <x v="73"/>
    <x v="73"/>
    <x v="73"/>
    <x v="58"/>
  </r>
  <r>
    <x v="3"/>
    <x v="4"/>
    <x v="1"/>
    <x v="74"/>
    <x v="58"/>
    <x v="74"/>
    <x v="74"/>
    <x v="74"/>
    <x v="59"/>
  </r>
  <r>
    <x v="3"/>
    <x v="5"/>
    <x v="1"/>
    <x v="75"/>
    <x v="59"/>
    <x v="75"/>
    <x v="75"/>
    <x v="75"/>
    <x v="60"/>
  </r>
  <r>
    <x v="3"/>
    <x v="6"/>
    <x v="1"/>
    <x v="76"/>
    <x v="60"/>
    <x v="76"/>
    <x v="76"/>
    <x v="76"/>
    <x v="61"/>
  </r>
  <r>
    <x v="3"/>
    <x v="7"/>
    <x v="1"/>
    <x v="77"/>
    <x v="61"/>
    <x v="77"/>
    <x v="77"/>
    <x v="77"/>
    <x v="62"/>
  </r>
  <r>
    <x v="3"/>
    <x v="8"/>
    <x v="1"/>
    <x v="78"/>
    <x v="9"/>
    <x v="78"/>
    <x v="78"/>
    <x v="78"/>
    <x v="9"/>
  </r>
  <r>
    <x v="3"/>
    <x v="9"/>
    <x v="1"/>
    <x v="79"/>
    <x v="9"/>
    <x v="79"/>
    <x v="79"/>
    <x v="79"/>
    <x v="9"/>
  </r>
  <r>
    <x v="4"/>
    <x v="0"/>
    <x v="0"/>
    <x v="80"/>
    <x v="62"/>
    <x v="80"/>
    <x v="80"/>
    <x v="80"/>
    <x v="63"/>
  </r>
  <r>
    <x v="4"/>
    <x v="1"/>
    <x v="0"/>
    <x v="81"/>
    <x v="63"/>
    <x v="81"/>
    <x v="81"/>
    <x v="81"/>
    <x v="64"/>
  </r>
  <r>
    <x v="4"/>
    <x v="2"/>
    <x v="0"/>
    <x v="82"/>
    <x v="64"/>
    <x v="82"/>
    <x v="82"/>
    <x v="82"/>
    <x v="65"/>
  </r>
  <r>
    <x v="4"/>
    <x v="3"/>
    <x v="0"/>
    <x v="83"/>
    <x v="65"/>
    <x v="83"/>
    <x v="83"/>
    <x v="83"/>
    <x v="66"/>
  </r>
  <r>
    <x v="4"/>
    <x v="4"/>
    <x v="0"/>
    <x v="84"/>
    <x v="66"/>
    <x v="84"/>
    <x v="84"/>
    <x v="84"/>
    <x v="67"/>
  </r>
  <r>
    <x v="4"/>
    <x v="5"/>
    <x v="0"/>
    <x v="85"/>
    <x v="67"/>
    <x v="85"/>
    <x v="85"/>
    <x v="85"/>
    <x v="68"/>
  </r>
  <r>
    <x v="4"/>
    <x v="6"/>
    <x v="0"/>
    <x v="86"/>
    <x v="68"/>
    <x v="86"/>
    <x v="86"/>
    <x v="86"/>
    <x v="69"/>
  </r>
  <r>
    <x v="4"/>
    <x v="7"/>
    <x v="0"/>
    <x v="87"/>
    <x v="69"/>
    <x v="87"/>
    <x v="87"/>
    <x v="87"/>
    <x v="70"/>
  </r>
  <r>
    <x v="4"/>
    <x v="8"/>
    <x v="0"/>
    <x v="88"/>
    <x v="70"/>
    <x v="88"/>
    <x v="88"/>
    <x v="88"/>
    <x v="71"/>
  </r>
  <r>
    <x v="4"/>
    <x v="9"/>
    <x v="0"/>
    <x v="89"/>
    <x v="9"/>
    <x v="89"/>
    <x v="89"/>
    <x v="89"/>
    <x v="9"/>
  </r>
  <r>
    <x v="4"/>
    <x v="0"/>
    <x v="1"/>
    <x v="90"/>
    <x v="71"/>
    <x v="90"/>
    <x v="90"/>
    <x v="90"/>
    <x v="72"/>
  </r>
  <r>
    <x v="4"/>
    <x v="1"/>
    <x v="1"/>
    <x v="91"/>
    <x v="72"/>
    <x v="91"/>
    <x v="91"/>
    <x v="91"/>
    <x v="73"/>
  </r>
  <r>
    <x v="4"/>
    <x v="2"/>
    <x v="1"/>
    <x v="92"/>
    <x v="73"/>
    <x v="92"/>
    <x v="92"/>
    <x v="92"/>
    <x v="74"/>
  </r>
  <r>
    <x v="4"/>
    <x v="3"/>
    <x v="1"/>
    <x v="93"/>
    <x v="74"/>
    <x v="93"/>
    <x v="93"/>
    <x v="93"/>
    <x v="75"/>
  </r>
  <r>
    <x v="4"/>
    <x v="4"/>
    <x v="1"/>
    <x v="94"/>
    <x v="75"/>
    <x v="94"/>
    <x v="94"/>
    <x v="94"/>
    <x v="76"/>
  </r>
  <r>
    <x v="4"/>
    <x v="5"/>
    <x v="1"/>
    <x v="95"/>
    <x v="76"/>
    <x v="95"/>
    <x v="95"/>
    <x v="95"/>
    <x v="77"/>
  </r>
  <r>
    <x v="4"/>
    <x v="6"/>
    <x v="1"/>
    <x v="96"/>
    <x v="77"/>
    <x v="96"/>
    <x v="96"/>
    <x v="96"/>
    <x v="78"/>
  </r>
  <r>
    <x v="4"/>
    <x v="7"/>
    <x v="1"/>
    <x v="97"/>
    <x v="78"/>
    <x v="97"/>
    <x v="97"/>
    <x v="97"/>
    <x v="79"/>
  </r>
  <r>
    <x v="4"/>
    <x v="8"/>
    <x v="1"/>
    <x v="98"/>
    <x v="9"/>
    <x v="98"/>
    <x v="98"/>
    <x v="98"/>
    <x v="9"/>
  </r>
  <r>
    <x v="4"/>
    <x v="9"/>
    <x v="1"/>
    <x v="99"/>
    <x v="9"/>
    <x v="99"/>
    <x v="99"/>
    <x v="9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4023E-A6BB-4FCA-8B85-423B417C8AA7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G53" firstHeaderRow="0" firstDataRow="1" firstDataCol="2"/>
  <pivotFields count="9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items count="100">
        <item x="99"/>
        <item x="59"/>
        <item x="39"/>
        <item x="19"/>
        <item x="78"/>
        <item x="18"/>
        <item x="79"/>
        <item x="58"/>
        <item x="38"/>
        <item x="98"/>
        <item x="49"/>
        <item x="89"/>
        <item x="69"/>
        <item x="9"/>
        <item x="17"/>
        <item x="77"/>
        <item x="29"/>
        <item x="48"/>
        <item x="88"/>
        <item x="37"/>
        <item x="97"/>
        <item x="57"/>
        <item x="68"/>
        <item x="8"/>
        <item x="56"/>
        <item x="16"/>
        <item x="28"/>
        <item x="96"/>
        <item x="36"/>
        <item x="76"/>
        <item x="7"/>
        <item x="87"/>
        <item x="15"/>
        <item x="27"/>
        <item x="47"/>
        <item x="67"/>
        <item x="55"/>
        <item x="95"/>
        <item x="35"/>
        <item x="75"/>
        <item x="6"/>
        <item x="46"/>
        <item x="13"/>
        <item x="66"/>
        <item x="54"/>
        <item x="26"/>
        <item x="14"/>
        <item x="45"/>
        <item x="94"/>
        <item x="86"/>
        <item x="74"/>
        <item x="53"/>
        <item x="34"/>
        <item x="65"/>
        <item x="5"/>
        <item x="33"/>
        <item x="12"/>
        <item x="73"/>
        <item x="25"/>
        <item x="85"/>
        <item x="44"/>
        <item x="93"/>
        <item x="10"/>
        <item x="11"/>
        <item x="52"/>
        <item x="64"/>
        <item x="72"/>
        <item x="4"/>
        <item x="84"/>
        <item x="31"/>
        <item x="30"/>
        <item x="32"/>
        <item x="3"/>
        <item x="43"/>
        <item x="23"/>
        <item x="92"/>
        <item x="51"/>
        <item x="24"/>
        <item x="63"/>
        <item x="83"/>
        <item x="91"/>
        <item x="2"/>
        <item x="70"/>
        <item x="22"/>
        <item x="90"/>
        <item x="50"/>
        <item x="71"/>
        <item x="82"/>
        <item x="1"/>
        <item x="62"/>
        <item x="21"/>
        <item x="42"/>
        <item x="81"/>
        <item x="61"/>
        <item x="20"/>
        <item x="41"/>
        <item x="60"/>
        <item x="0"/>
        <item x="40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items count="79">
        <item x="9"/>
        <item x="8"/>
        <item x="30"/>
        <item x="13"/>
        <item x="24"/>
        <item x="15"/>
        <item x="7"/>
        <item x="23"/>
        <item x="78"/>
        <item x="22"/>
        <item x="77"/>
        <item x="70"/>
        <item x="43"/>
        <item x="53"/>
        <item x="14"/>
        <item x="44"/>
        <item x="61"/>
        <item x="52"/>
        <item x="29"/>
        <item x="38"/>
        <item x="6"/>
        <item x="28"/>
        <item x="69"/>
        <item x="60"/>
        <item x="36"/>
        <item x="50"/>
        <item x="76"/>
        <item x="5"/>
        <item x="59"/>
        <item x="12"/>
        <item x="21"/>
        <item x="37"/>
        <item x="51"/>
        <item x="4"/>
        <item x="27"/>
        <item x="75"/>
        <item x="68"/>
        <item x="74"/>
        <item x="18"/>
        <item x="65"/>
        <item x="3"/>
        <item x="19"/>
        <item x="47"/>
        <item x="11"/>
        <item x="34"/>
        <item x="49"/>
        <item x="2"/>
        <item x="42"/>
        <item x="66"/>
        <item x="35"/>
        <item x="48"/>
        <item x="1"/>
        <item x="63"/>
        <item x="33"/>
        <item x="20"/>
        <item x="26"/>
        <item x="0"/>
        <item x="46"/>
        <item x="10"/>
        <item x="16"/>
        <item x="17"/>
        <item x="64"/>
        <item x="67"/>
        <item x="73"/>
        <item x="41"/>
        <item x="45"/>
        <item x="40"/>
        <item x="58"/>
        <item x="32"/>
        <item x="55"/>
        <item x="62"/>
        <item x="31"/>
        <item x="56"/>
        <item x="72"/>
        <item x="57"/>
        <item x="25"/>
        <item x="71"/>
        <item x="54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items count="100">
        <item x="22"/>
        <item x="62"/>
        <item x="23"/>
        <item x="43"/>
        <item x="81"/>
        <item x="2"/>
        <item x="61"/>
        <item x="82"/>
        <item x="3"/>
        <item x="42"/>
        <item x="83"/>
        <item x="63"/>
        <item x="45"/>
        <item x="44"/>
        <item x="41"/>
        <item x="4"/>
        <item x="64"/>
        <item x="24"/>
        <item x="25"/>
        <item x="21"/>
        <item x="20"/>
        <item x="60"/>
        <item x="5"/>
        <item x="1"/>
        <item x="84"/>
        <item x="40"/>
        <item x="85"/>
        <item x="80"/>
        <item x="0"/>
        <item x="65"/>
        <item x="6"/>
        <item x="46"/>
        <item x="26"/>
        <item x="86"/>
        <item x="66"/>
        <item x="49"/>
        <item x="7"/>
        <item x="68"/>
        <item x="27"/>
        <item x="67"/>
        <item x="28"/>
        <item x="48"/>
        <item x="29"/>
        <item x="8"/>
        <item x="88"/>
        <item x="47"/>
        <item x="69"/>
        <item x="89"/>
        <item x="87"/>
        <item x="9"/>
        <item x="59"/>
        <item x="79"/>
        <item x="19"/>
        <item x="99"/>
        <item x="39"/>
        <item x="78"/>
        <item x="98"/>
        <item x="58"/>
        <item x="38"/>
        <item x="18"/>
        <item x="57"/>
        <item x="37"/>
        <item x="77"/>
        <item x="55"/>
        <item x="97"/>
        <item x="56"/>
        <item x="76"/>
        <item x="15"/>
        <item x="96"/>
        <item x="16"/>
        <item x="35"/>
        <item x="75"/>
        <item x="74"/>
        <item x="17"/>
        <item x="73"/>
        <item x="36"/>
        <item x="53"/>
        <item x="95"/>
        <item x="72"/>
        <item x="34"/>
        <item x="52"/>
        <item x="93"/>
        <item x="54"/>
        <item x="94"/>
        <item x="13"/>
        <item x="32"/>
        <item x="33"/>
        <item x="92"/>
        <item x="14"/>
        <item x="91"/>
        <item x="12"/>
        <item x="51"/>
        <item x="50"/>
        <item x="31"/>
        <item x="71"/>
        <item x="11"/>
        <item x="90"/>
        <item x="70"/>
        <item x="10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items count="100">
        <item x="99"/>
        <item x="59"/>
        <item x="39"/>
        <item x="19"/>
        <item x="78"/>
        <item x="18"/>
        <item x="79"/>
        <item x="58"/>
        <item x="38"/>
        <item x="98"/>
        <item x="49"/>
        <item x="89"/>
        <item x="69"/>
        <item x="9"/>
        <item x="17"/>
        <item x="29"/>
        <item x="77"/>
        <item x="48"/>
        <item x="37"/>
        <item x="88"/>
        <item x="97"/>
        <item x="57"/>
        <item x="68"/>
        <item x="8"/>
        <item x="56"/>
        <item x="16"/>
        <item x="28"/>
        <item x="96"/>
        <item x="36"/>
        <item x="76"/>
        <item x="7"/>
        <item x="87"/>
        <item x="15"/>
        <item x="27"/>
        <item x="47"/>
        <item x="67"/>
        <item x="55"/>
        <item x="35"/>
        <item x="95"/>
        <item x="75"/>
        <item x="6"/>
        <item x="46"/>
        <item x="13"/>
        <item x="66"/>
        <item x="54"/>
        <item x="26"/>
        <item x="14"/>
        <item x="45"/>
        <item x="94"/>
        <item x="86"/>
        <item x="74"/>
        <item x="53"/>
        <item x="34"/>
        <item x="33"/>
        <item x="65"/>
        <item x="5"/>
        <item x="12"/>
        <item x="25"/>
        <item x="93"/>
        <item x="85"/>
        <item x="73"/>
        <item x="44"/>
        <item x="11"/>
        <item x="10"/>
        <item x="64"/>
        <item x="4"/>
        <item x="52"/>
        <item x="72"/>
        <item x="32"/>
        <item x="84"/>
        <item x="31"/>
        <item x="3"/>
        <item x="43"/>
        <item x="23"/>
        <item x="30"/>
        <item x="24"/>
        <item x="92"/>
        <item x="51"/>
        <item x="63"/>
        <item x="83"/>
        <item x="2"/>
        <item x="22"/>
        <item x="91"/>
        <item x="70"/>
        <item x="62"/>
        <item x="90"/>
        <item x="1"/>
        <item x="82"/>
        <item x="71"/>
        <item x="21"/>
        <item x="50"/>
        <item x="42"/>
        <item x="81"/>
        <item x="61"/>
        <item x="20"/>
        <item x="41"/>
        <item x="60"/>
        <item x="0"/>
        <item x="40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items count="100">
        <item x="49"/>
        <item x="69"/>
        <item x="59"/>
        <item x="29"/>
        <item x="89"/>
        <item x="48"/>
        <item x="88"/>
        <item x="79"/>
        <item x="68"/>
        <item x="9"/>
        <item x="99"/>
        <item x="19"/>
        <item x="8"/>
        <item x="39"/>
        <item x="78"/>
        <item x="28"/>
        <item x="58"/>
        <item x="18"/>
        <item x="38"/>
        <item x="98"/>
        <item x="7"/>
        <item x="27"/>
        <item x="47"/>
        <item x="67"/>
        <item x="87"/>
        <item x="37"/>
        <item x="77"/>
        <item x="57"/>
        <item x="6"/>
        <item x="46"/>
        <item x="97"/>
        <item x="17"/>
        <item x="45"/>
        <item x="66"/>
        <item x="26"/>
        <item x="56"/>
        <item x="86"/>
        <item x="5"/>
        <item x="16"/>
        <item x="65"/>
        <item x="96"/>
        <item x="25"/>
        <item x="76"/>
        <item x="44"/>
        <item x="36"/>
        <item x="85"/>
        <item x="15"/>
        <item x="55"/>
        <item x="64"/>
        <item x="4"/>
        <item x="35"/>
        <item x="75"/>
        <item x="3"/>
        <item x="84"/>
        <item x="43"/>
        <item x="23"/>
        <item x="95"/>
        <item x="24"/>
        <item x="63"/>
        <item x="83"/>
        <item x="2"/>
        <item x="13"/>
        <item x="22"/>
        <item x="54"/>
        <item x="74"/>
        <item x="53"/>
        <item x="94"/>
        <item x="62"/>
        <item x="82"/>
        <item x="34"/>
        <item x="14"/>
        <item x="1"/>
        <item x="42"/>
        <item x="73"/>
        <item x="33"/>
        <item x="21"/>
        <item x="93"/>
        <item x="81"/>
        <item x="12"/>
        <item x="52"/>
        <item x="61"/>
        <item x="72"/>
        <item x="20"/>
        <item x="41"/>
        <item x="60"/>
        <item x="32"/>
        <item x="0"/>
        <item x="11"/>
        <item x="40"/>
        <item x="92"/>
        <item x="31"/>
        <item x="80"/>
        <item x="10"/>
        <item x="51"/>
        <item x="91"/>
        <item x="30"/>
        <item x="50"/>
        <item x="71"/>
        <item x="90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items count="80">
        <item x="9"/>
        <item x="30"/>
        <item x="31"/>
        <item x="8"/>
        <item x="13"/>
        <item x="22"/>
        <item x="15"/>
        <item x="44"/>
        <item x="14"/>
        <item x="23"/>
        <item x="7"/>
        <item x="29"/>
        <item x="24"/>
        <item x="45"/>
        <item x="28"/>
        <item x="53"/>
        <item x="78"/>
        <item x="6"/>
        <item x="18"/>
        <item x="37"/>
        <item x="51"/>
        <item x="48"/>
        <item x="27"/>
        <item x="66"/>
        <item x="4"/>
        <item x="79"/>
        <item x="39"/>
        <item x="12"/>
        <item x="5"/>
        <item x="21"/>
        <item x="19"/>
        <item x="3"/>
        <item x="54"/>
        <item x="75"/>
        <item x="71"/>
        <item x="64"/>
        <item x="70"/>
        <item x="2"/>
        <item x="76"/>
        <item x="69"/>
        <item x="77"/>
        <item x="0"/>
        <item x="52"/>
        <item x="61"/>
        <item x="1"/>
        <item x="35"/>
        <item x="34"/>
        <item x="38"/>
        <item x="11"/>
        <item x="47"/>
        <item x="16"/>
        <item x="60"/>
        <item x="62"/>
        <item x="50"/>
        <item x="49"/>
        <item x="67"/>
        <item x="17"/>
        <item x="65"/>
        <item x="63"/>
        <item x="46"/>
        <item x="20"/>
        <item x="33"/>
        <item x="32"/>
        <item x="36"/>
        <item x="43"/>
        <item x="26"/>
        <item x="56"/>
        <item x="74"/>
        <item x="10"/>
        <item x="41"/>
        <item x="42"/>
        <item x="68"/>
        <item x="73"/>
        <item x="72"/>
        <item x="57"/>
        <item x="59"/>
        <item x="25"/>
        <item x="55"/>
        <item x="58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Ocupados" fld="3" baseField="0" baseItem="0" numFmtId="4"/>
    <dataField name="Suma de Desocupados" fld="4" baseField="0" baseItem="0" numFmtId="4"/>
    <dataField name="Suma de Inactivos" fld="5" baseField="0" baseItem="0" numFmtId="4"/>
    <dataField name="Suma de PEA" fld="6" baseField="0" baseItem="0" numFmtId="4"/>
    <dataField name="Suma de PET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1B0FF-0278-4E6B-AFDD-E256DE1D4C92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G13" firstHeaderRow="0" firstDataRow="1" firstDataCol="2"/>
  <pivotFields count="9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Ocupados" fld="3" baseField="0" baseItem="0" numFmtId="4"/>
    <dataField name="Suma de Desocupados" fld="4" baseField="0" baseItem="0" numFmtId="4"/>
    <dataField name="Suma de Inactivos" fld="5" baseField="0" baseItem="0" numFmtId="4"/>
    <dataField name="Suma de PEA" fld="6" baseField="0" baseItem="0" numFmtId="4"/>
    <dataField name="Suma de PET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F3832A-CF30-4CF1-958C-3217B430F0D9}" name="Tabla2" displayName="Tabla2" ref="A3:I103" totalsRowShown="0" headerRowDxfId="28" dataDxfId="27">
  <autoFilter ref="A3:I103" xr:uid="{77F3832A-CF30-4CF1-958C-3217B430F0D9}"/>
  <tableColumns count="9">
    <tableColumn id="1" xr3:uid="{517D6689-1C96-4776-AF0D-478A2C458653}" name="Año" dataDxfId="26"/>
    <tableColumn id="2" xr3:uid="{7E41A643-130E-40D5-AF2A-8943AAE93A63}" name="Grupos de edad" dataDxfId="25"/>
    <tableColumn id="3" xr3:uid="{D7437F46-A014-44E6-8D22-6180ACC3921D}" name="Genero" dataDxfId="24"/>
    <tableColumn id="4" xr3:uid="{B1ED0FE6-F449-4A53-86D0-20B55B0CB663}" name="Ocupados" dataDxfId="23"/>
    <tableColumn id="5" xr3:uid="{0C88D2A9-E72D-4FE5-9B97-3781B139A9C9}" name="Desocupados" dataDxfId="22"/>
    <tableColumn id="6" xr3:uid="{1C8C2014-D0ED-4511-B08A-1AEB4A1072ED}" name="Inactivos" dataDxfId="21"/>
    <tableColumn id="7" xr3:uid="{97E23B70-946F-47C1-AD4E-ABDEEA0FDA47}" name="PEA" dataDxfId="20">
      <calculatedColumnFormula>D4+E4</calculatedColumnFormula>
    </tableColumn>
    <tableColumn id="8" xr3:uid="{CC55BD0A-B413-4337-9E3A-50156D709947}" name="PET" dataDxfId="19">
      <calculatedColumnFormula>SUM(D4:F4)</calculatedColumnFormula>
    </tableColumn>
    <tableColumn id="11" xr3:uid="{E0034C51-155D-41D1-822B-272482BBCCE2}" name="TD" dataDxfId="18">
      <calculatedColumnFormula>Tabla2[[#This Row],[Desocupados]]/Tabla2[[#This Row],[PEA]]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0A655-775D-49A9-8F67-3FD2820F60A9}" name="Tabla3" displayName="Tabla3" ref="A2:G125" totalsRowShown="0" headerRowDxfId="17" dataDxfId="16">
  <autoFilter ref="A2:G125" xr:uid="{8D50A655-775D-49A9-8F67-3FD2820F60A9}"/>
  <tableColumns count="7">
    <tableColumn id="1" xr3:uid="{2053252B-206A-49A5-84B3-AA6FDCBBC5F3}" name="Año" dataDxfId="15"/>
    <tableColumn id="2" xr3:uid="{269CD55E-03BC-4703-972C-7C3638AD8F19}" name="Grupos de edad" dataDxfId="14"/>
    <tableColumn id="3" xr3:uid="{F5A4407E-063C-4B0B-A398-6A71BA86F145}" name="Ocupados" dataDxfId="13"/>
    <tableColumn id="4" xr3:uid="{220D68F7-1ECC-43F1-9BF8-8A590A830C87}" name="Desocupados" dataDxfId="12"/>
    <tableColumn id="5" xr3:uid="{3513D3B1-E779-49B6-8920-9E70D6F2AD60}" name="Inactivos" dataDxfId="11"/>
    <tableColumn id="6" xr3:uid="{4F413678-D2C1-4BD3-8392-BA3C8F2BED3E}" name="Población Económicamente Activa (PEA)" dataDxfId="10"/>
    <tableColumn id="7" xr3:uid="{BA0A0047-6032-4451-A3A0-DAB35213EE37}" name="Población en Edad de Trabajar (PET)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3B311-CD0C-4E54-9987-C9068DB03F99}" name="Tabla1" displayName="Tabla1" ref="A2:G30" totalsRowShown="0" headerRowDxfId="8" dataDxfId="7">
  <autoFilter ref="A2:G30" xr:uid="{14A3B311-CD0C-4E54-9987-C9068DB03F99}"/>
  <tableColumns count="7">
    <tableColumn id="1" xr3:uid="{C06F4CD7-AD3B-45E3-ACD1-B3A9B3EEFA6B}" name="Año" dataDxfId="6"/>
    <tableColumn id="2" xr3:uid="{58F0B743-D9DC-4E06-9248-61107B5AAD82}" name="Genero" dataDxfId="5"/>
    <tableColumn id="3" xr3:uid="{00C165F7-68B6-41C4-A9FE-900CB73A8743}" name="Ocupados" dataDxfId="4"/>
    <tableColumn id="4" xr3:uid="{EFB2856E-D8D3-44EB-A6A4-0C7431712AD1}" name="Desocupados" dataDxfId="3"/>
    <tableColumn id="5" xr3:uid="{CA64C4CC-877F-45AA-AC5C-4BE4BB422BF6}" name="Inactivos" dataDxfId="2"/>
    <tableColumn id="6" xr3:uid="{ED1E00DA-ECF4-4615-9917-87CCA508FDE5}" name="Población Económicamente Activa (PEA)" dataDxfId="1"/>
    <tableColumn id="7" xr3:uid="{833969A3-113A-46DA-8745-F1235DC04E27}" name="Población en Edad de Trabajar (PET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F763-9034-498A-9C09-CAF6DFD5F51B}">
  <dimension ref="A1:I103"/>
  <sheetViews>
    <sheetView workbookViewId="0">
      <selection activeCell="C28" sqref="C28"/>
    </sheetView>
  </sheetViews>
  <sheetFormatPr baseColWidth="10" defaultRowHeight="15" x14ac:dyDescent="0.25"/>
  <cols>
    <col min="2" max="2" width="17" customWidth="1"/>
    <col min="4" max="4" width="11.85546875" customWidth="1"/>
    <col min="5" max="5" width="14.85546875" customWidth="1"/>
    <col min="6" max="6" width="19.42578125" customWidth="1"/>
    <col min="7" max="7" width="19.7109375" customWidth="1"/>
    <col min="8" max="8" width="19.85546875" customWidth="1"/>
    <col min="9" max="9" width="13.85546875" customWidth="1"/>
  </cols>
  <sheetData>
    <row r="1" spans="1:9" ht="77.25" customHeight="1" x14ac:dyDescent="0.25">
      <c r="G1" s="8" t="s">
        <v>31</v>
      </c>
      <c r="H1" s="8" t="s">
        <v>19</v>
      </c>
      <c r="I1" s="8" t="s">
        <v>32</v>
      </c>
    </row>
    <row r="2" spans="1:9" ht="65.25" customHeight="1" x14ac:dyDescent="0.25">
      <c r="F2" s="8" t="s">
        <v>39</v>
      </c>
      <c r="G2" s="8" t="s">
        <v>40</v>
      </c>
      <c r="H2" s="7" t="s">
        <v>41</v>
      </c>
      <c r="I2" s="8" t="s">
        <v>33</v>
      </c>
    </row>
    <row r="3" spans="1:9" x14ac:dyDescent="0.25">
      <c r="A3" s="1" t="s">
        <v>7</v>
      </c>
      <c r="B3" s="1" t="s">
        <v>0</v>
      </c>
      <c r="C3" s="1" t="s">
        <v>6</v>
      </c>
      <c r="D3" s="1" t="s">
        <v>1</v>
      </c>
      <c r="E3" s="1" t="s">
        <v>2</v>
      </c>
      <c r="F3" s="1" t="s">
        <v>3</v>
      </c>
      <c r="G3" s="1" t="s">
        <v>17</v>
      </c>
      <c r="H3" s="1" t="s">
        <v>18</v>
      </c>
      <c r="I3" s="1" t="s">
        <v>30</v>
      </c>
    </row>
    <row r="4" spans="1:9" x14ac:dyDescent="0.25">
      <c r="A4" s="4">
        <v>2012</v>
      </c>
      <c r="B4" s="3" t="s">
        <v>20</v>
      </c>
      <c r="C4" s="3" t="s">
        <v>4</v>
      </c>
      <c r="D4" s="5">
        <v>220914.58898618832</v>
      </c>
      <c r="E4" s="5">
        <v>5966.7139499172963</v>
      </c>
      <c r="F4" s="5">
        <v>13853.314649295962</v>
      </c>
      <c r="G4" s="2">
        <f>D4+E4</f>
        <v>226881.30293610561</v>
      </c>
      <c r="H4" s="6">
        <f>SUM(D4:F4)</f>
        <v>240734.61758540157</v>
      </c>
      <c r="I4" s="9">
        <f>Tabla2[[#This Row],[Desocupados]]/Tabla2[[#This Row],[PEA]]</f>
        <v>2.6298834997424376E-2</v>
      </c>
    </row>
    <row r="5" spans="1:9" x14ac:dyDescent="0.25">
      <c r="A5" s="4">
        <v>2012</v>
      </c>
      <c r="B5" s="3" t="s">
        <v>21</v>
      </c>
      <c r="C5" s="3" t="s">
        <v>4</v>
      </c>
      <c r="D5" s="5">
        <v>182825.91162182228</v>
      </c>
      <c r="E5" s="5">
        <v>5008.0597946367279</v>
      </c>
      <c r="F5" s="5">
        <v>12087.09018426144</v>
      </c>
      <c r="G5" s="2">
        <f t="shared" ref="G5:G13" si="0">D5+E5</f>
        <v>187833.97141645901</v>
      </c>
      <c r="H5" s="6">
        <f t="shared" ref="H5:H13" si="1">SUM(D5:F5)</f>
        <v>199921.06160072045</v>
      </c>
      <c r="I5" s="9">
        <f>Tabla2[[#This Row],[Desocupados]]/Tabla2[[#This Row],[PEA]]</f>
        <v>2.6662162104495093E-2</v>
      </c>
    </row>
    <row r="6" spans="1:9" x14ac:dyDescent="0.25">
      <c r="A6" s="4">
        <v>2012</v>
      </c>
      <c r="B6" s="3" t="s">
        <v>22</v>
      </c>
      <c r="C6" s="3" t="s">
        <v>4</v>
      </c>
      <c r="D6" s="5">
        <v>166564.00428147145</v>
      </c>
      <c r="E6" s="5">
        <v>4184.6202169620628</v>
      </c>
      <c r="F6" s="5">
        <v>7010.130550300938</v>
      </c>
      <c r="G6" s="2">
        <f t="shared" si="0"/>
        <v>170748.62449843352</v>
      </c>
      <c r="H6" s="6">
        <f t="shared" si="1"/>
        <v>177758.75504873446</v>
      </c>
      <c r="I6" s="9">
        <f>Tabla2[[#This Row],[Desocupados]]/Tabla2[[#This Row],[PEA]]</f>
        <v>2.4507490055947441E-2</v>
      </c>
    </row>
    <row r="7" spans="1:9" x14ac:dyDescent="0.25">
      <c r="A7" s="4">
        <v>2012</v>
      </c>
      <c r="B7" s="3" t="s">
        <v>23</v>
      </c>
      <c r="C7" s="3" t="s">
        <v>4</v>
      </c>
      <c r="D7" s="5">
        <v>142883.95255251002</v>
      </c>
      <c r="E7" s="5">
        <v>2993.24691326115</v>
      </c>
      <c r="F7" s="5">
        <v>7388.882623213327</v>
      </c>
      <c r="G7" s="2">
        <f t="shared" si="0"/>
        <v>145877.19946577118</v>
      </c>
      <c r="H7" s="6">
        <f t="shared" si="1"/>
        <v>153266.08208898449</v>
      </c>
      <c r="I7" s="9">
        <f>Tabla2[[#This Row],[Desocupados]]/Tabla2[[#This Row],[PEA]]</f>
        <v>2.0518949666040783E-2</v>
      </c>
    </row>
    <row r="8" spans="1:9" x14ac:dyDescent="0.25">
      <c r="A8" s="4">
        <v>2012</v>
      </c>
      <c r="B8" s="3" t="s">
        <v>24</v>
      </c>
      <c r="C8" s="3" t="s">
        <v>4</v>
      </c>
      <c r="D8" s="5">
        <v>135695.88215305819</v>
      </c>
      <c r="E8" s="5">
        <v>2449.0395956235648</v>
      </c>
      <c r="F8" s="5">
        <v>9612.7995921999354</v>
      </c>
      <c r="G8" s="2">
        <f t="shared" si="0"/>
        <v>138144.92174868175</v>
      </c>
      <c r="H8" s="6">
        <f t="shared" si="1"/>
        <v>147757.72134088169</v>
      </c>
      <c r="I8" s="9">
        <f>Tabla2[[#This Row],[Desocupados]]/Tabla2[[#This Row],[PEA]]</f>
        <v>1.7728046493659364E-2</v>
      </c>
    </row>
    <row r="9" spans="1:9" x14ac:dyDescent="0.25">
      <c r="A9" s="4">
        <v>2012</v>
      </c>
      <c r="B9" s="3" t="s">
        <v>25</v>
      </c>
      <c r="C9" s="3" t="s">
        <v>4</v>
      </c>
      <c r="D9" s="5">
        <v>108617.35114644919</v>
      </c>
      <c r="E9" s="5">
        <v>2123.3807365407351</v>
      </c>
      <c r="F9" s="5">
        <v>11830.430459126832</v>
      </c>
      <c r="G9" s="2">
        <f t="shared" si="0"/>
        <v>110740.73188298993</v>
      </c>
      <c r="H9" s="6">
        <f t="shared" si="1"/>
        <v>122571.16234211676</v>
      </c>
      <c r="I9" s="9">
        <f>Tabla2[[#This Row],[Desocupados]]/Tabla2[[#This Row],[PEA]]</f>
        <v>1.9174342632883503E-2</v>
      </c>
    </row>
    <row r="10" spans="1:9" x14ac:dyDescent="0.25">
      <c r="A10" s="4">
        <v>2012</v>
      </c>
      <c r="B10" s="3" t="s">
        <v>26</v>
      </c>
      <c r="C10" s="3" t="s">
        <v>4</v>
      </c>
      <c r="D10" s="5">
        <v>80565.289529953399</v>
      </c>
      <c r="E10" s="5">
        <v>1213.954806610315</v>
      </c>
      <c r="F10" s="5">
        <v>14796.929235238695</v>
      </c>
      <c r="G10" s="2">
        <f t="shared" si="0"/>
        <v>81779.244336563715</v>
      </c>
      <c r="H10" s="6">
        <f t="shared" si="1"/>
        <v>96576.173571802414</v>
      </c>
      <c r="I10" s="9">
        <f>Tabla2[[#This Row],[Desocupados]]/Tabla2[[#This Row],[PEA]]</f>
        <v>1.4844289849564587E-2</v>
      </c>
    </row>
    <row r="11" spans="1:9" x14ac:dyDescent="0.25">
      <c r="A11" s="4">
        <v>2012</v>
      </c>
      <c r="B11" s="3" t="s">
        <v>27</v>
      </c>
      <c r="C11" s="3" t="s">
        <v>4</v>
      </c>
      <c r="D11" s="5">
        <v>57241.072296777435</v>
      </c>
      <c r="E11" s="5">
        <v>520.26080679270251</v>
      </c>
      <c r="F11" s="5">
        <v>18878.439206804269</v>
      </c>
      <c r="G11" s="2">
        <f t="shared" si="0"/>
        <v>57761.333103570134</v>
      </c>
      <c r="H11" s="6">
        <f t="shared" si="1"/>
        <v>76639.772310374407</v>
      </c>
      <c r="I11" s="9">
        <f>Tabla2[[#This Row],[Desocupados]]/Tabla2[[#This Row],[PEA]]</f>
        <v>9.0070775523798646E-3</v>
      </c>
    </row>
    <row r="12" spans="1:9" x14ac:dyDescent="0.25">
      <c r="A12" s="4">
        <v>2012</v>
      </c>
      <c r="B12" s="3" t="s">
        <v>28</v>
      </c>
      <c r="C12" s="3" t="s">
        <v>4</v>
      </c>
      <c r="D12" s="5">
        <v>41054.680007996772</v>
      </c>
      <c r="E12" s="5">
        <v>172.04431494494997</v>
      </c>
      <c r="F12" s="5">
        <v>21028.306120808087</v>
      </c>
      <c r="G12" s="2">
        <f t="shared" si="0"/>
        <v>41226.724322941722</v>
      </c>
      <c r="H12" s="6">
        <f t="shared" si="1"/>
        <v>62255.030443749813</v>
      </c>
      <c r="I12" s="9">
        <f>Tabla2[[#This Row],[Desocupados]]/Tabla2[[#This Row],[PEA]]</f>
        <v>4.1731259946163439E-3</v>
      </c>
    </row>
    <row r="13" spans="1:9" x14ac:dyDescent="0.25">
      <c r="A13" s="4">
        <v>2012</v>
      </c>
      <c r="B13" s="3" t="s">
        <v>29</v>
      </c>
      <c r="C13" s="3" t="s">
        <v>4</v>
      </c>
      <c r="D13" s="5">
        <v>26963.033989664713</v>
      </c>
      <c r="E13" s="5">
        <v>0</v>
      </c>
      <c r="F13" s="5">
        <v>28767.177846331</v>
      </c>
      <c r="G13" s="2">
        <f t="shared" si="0"/>
        <v>26963.033989664713</v>
      </c>
      <c r="H13" s="6">
        <f t="shared" si="1"/>
        <v>55730.211835995709</v>
      </c>
      <c r="I13" s="9">
        <f>Tabla2[[#This Row],[Desocupados]]/Tabla2[[#This Row],[PEA]]</f>
        <v>0</v>
      </c>
    </row>
    <row r="14" spans="1:9" x14ac:dyDescent="0.25">
      <c r="A14" s="4">
        <v>2012</v>
      </c>
      <c r="B14" s="3" t="s">
        <v>20</v>
      </c>
      <c r="C14" s="1" t="s">
        <v>5</v>
      </c>
      <c r="D14" s="2">
        <v>124371.00176554287</v>
      </c>
      <c r="E14" s="2">
        <v>6141.3128336179834</v>
      </c>
      <c r="F14" s="2">
        <v>135381.39816025403</v>
      </c>
      <c r="G14" s="2">
        <f t="shared" ref="G14:G23" si="2">D14+E14</f>
        <v>130512.31459916085</v>
      </c>
      <c r="H14" s="6">
        <f t="shared" ref="H14:H23" si="3">SUM(D14:F14)</f>
        <v>265893.71275941486</v>
      </c>
      <c r="I14" s="9">
        <f>Tabla2[[#This Row],[Desocupados]]/Tabla2[[#This Row],[PEA]]</f>
        <v>4.705542808339306E-2</v>
      </c>
    </row>
    <row r="15" spans="1:9" x14ac:dyDescent="0.25">
      <c r="A15" s="4">
        <v>2012</v>
      </c>
      <c r="B15" s="3" t="s">
        <v>21</v>
      </c>
      <c r="C15" s="1" t="s">
        <v>5</v>
      </c>
      <c r="D15" s="2">
        <v>126032.00917622748</v>
      </c>
      <c r="E15" s="2">
        <v>3574.2213258112724</v>
      </c>
      <c r="F15" s="2">
        <v>119597.09511347151</v>
      </c>
      <c r="G15" s="2">
        <f t="shared" si="2"/>
        <v>129606.23050203876</v>
      </c>
      <c r="H15" s="6">
        <f t="shared" si="3"/>
        <v>249203.32561551029</v>
      </c>
      <c r="I15" s="9">
        <f>Tabla2[[#This Row],[Desocupados]]/Tabla2[[#This Row],[PEA]]</f>
        <v>2.7577542468184418E-2</v>
      </c>
    </row>
    <row r="16" spans="1:9" x14ac:dyDescent="0.25">
      <c r="A16" s="4">
        <v>2012</v>
      </c>
      <c r="B16" s="3" t="s">
        <v>22</v>
      </c>
      <c r="C16" s="1" t="s">
        <v>5</v>
      </c>
      <c r="D16" s="2">
        <v>111902.70595816564</v>
      </c>
      <c r="E16" s="2">
        <v>2169.8312057309649</v>
      </c>
      <c r="F16" s="2">
        <v>106936.2142122832</v>
      </c>
      <c r="G16" s="2">
        <f t="shared" si="2"/>
        <v>114072.5371638966</v>
      </c>
      <c r="H16" s="6">
        <f t="shared" si="3"/>
        <v>221008.7513761798</v>
      </c>
      <c r="I16" s="9">
        <f>Tabla2[[#This Row],[Desocupados]]/Tabla2[[#This Row],[PEA]]</f>
        <v>1.9021503857790112E-2</v>
      </c>
    </row>
    <row r="17" spans="1:9" x14ac:dyDescent="0.25">
      <c r="A17" s="4">
        <v>2012</v>
      </c>
      <c r="B17" s="3" t="s">
        <v>23</v>
      </c>
      <c r="C17" s="1" t="s">
        <v>5</v>
      </c>
      <c r="D17" s="2">
        <v>88348.849483674348</v>
      </c>
      <c r="E17" s="2">
        <v>410.3189756851325</v>
      </c>
      <c r="F17" s="2">
        <v>91222.474624644237</v>
      </c>
      <c r="G17" s="2">
        <f t="shared" si="2"/>
        <v>88759.168459359484</v>
      </c>
      <c r="H17" s="6">
        <f t="shared" si="3"/>
        <v>179981.64308400371</v>
      </c>
      <c r="I17" s="9">
        <f>Tabla2[[#This Row],[Desocupados]]/Tabla2[[#This Row],[PEA]]</f>
        <v>4.6228348328094908E-3</v>
      </c>
    </row>
    <row r="18" spans="1:9" x14ac:dyDescent="0.25">
      <c r="A18" s="4">
        <v>2012</v>
      </c>
      <c r="B18" s="3" t="s">
        <v>24</v>
      </c>
      <c r="C18" s="1" t="s">
        <v>5</v>
      </c>
      <c r="D18" s="2">
        <v>95219.156484193518</v>
      </c>
      <c r="E18" s="2">
        <v>798.11909088737002</v>
      </c>
      <c r="F18" s="2">
        <v>103051.88968164938</v>
      </c>
      <c r="G18" s="2">
        <f t="shared" si="2"/>
        <v>96017.275575080886</v>
      </c>
      <c r="H18" s="6">
        <f t="shared" si="3"/>
        <v>199069.16525673028</v>
      </c>
      <c r="I18" s="9">
        <f>Tabla2[[#This Row],[Desocupados]]/Tabla2[[#This Row],[PEA]]</f>
        <v>8.312244709164647E-3</v>
      </c>
    </row>
    <row r="19" spans="1:9" x14ac:dyDescent="0.25">
      <c r="A19" s="4">
        <v>2012</v>
      </c>
      <c r="B19" s="3" t="s">
        <v>25</v>
      </c>
      <c r="C19" s="1" t="s">
        <v>5</v>
      </c>
      <c r="D19" s="2">
        <v>62001.670895355885</v>
      </c>
      <c r="E19" s="2">
        <v>479.32707764028498</v>
      </c>
      <c r="F19" s="2">
        <v>75515.747302855307</v>
      </c>
      <c r="G19" s="2">
        <f t="shared" si="2"/>
        <v>62480.997972996171</v>
      </c>
      <c r="H19" s="6">
        <f t="shared" si="3"/>
        <v>137996.74527585148</v>
      </c>
      <c r="I19" s="9">
        <f>Tabla2[[#This Row],[Desocupados]]/Tabla2[[#This Row],[PEA]]</f>
        <v>7.6715656470059367E-3</v>
      </c>
    </row>
    <row r="20" spans="1:9" x14ac:dyDescent="0.25">
      <c r="A20" s="4">
        <v>2012</v>
      </c>
      <c r="B20" s="3" t="s">
        <v>26</v>
      </c>
      <c r="C20" s="1" t="s">
        <v>5</v>
      </c>
      <c r="D20" s="2">
        <v>46598.680308264302</v>
      </c>
      <c r="E20" s="2">
        <v>0</v>
      </c>
      <c r="F20" s="2">
        <v>76702.69926916025</v>
      </c>
      <c r="G20" s="2">
        <f t="shared" si="2"/>
        <v>46598.680308264302</v>
      </c>
      <c r="H20" s="6">
        <f t="shared" si="3"/>
        <v>123301.37957742455</v>
      </c>
      <c r="I20" s="9">
        <f>Tabla2[[#This Row],[Desocupados]]/Tabla2[[#This Row],[PEA]]</f>
        <v>0</v>
      </c>
    </row>
    <row r="21" spans="1:9" x14ac:dyDescent="0.25">
      <c r="A21" s="4">
        <v>2012</v>
      </c>
      <c r="B21" s="3" t="s">
        <v>27</v>
      </c>
      <c r="C21" s="1" t="s">
        <v>5</v>
      </c>
      <c r="D21" s="2">
        <v>27250.300294394321</v>
      </c>
      <c r="E21" s="2">
        <v>0</v>
      </c>
      <c r="F21" s="2">
        <v>77561.618478376011</v>
      </c>
      <c r="G21" s="2">
        <f t="shared" si="2"/>
        <v>27250.300294394321</v>
      </c>
      <c r="H21" s="6">
        <f t="shared" si="3"/>
        <v>104811.91877277032</v>
      </c>
      <c r="I21" s="9">
        <f>Tabla2[[#This Row],[Desocupados]]/Tabla2[[#This Row],[PEA]]</f>
        <v>0</v>
      </c>
    </row>
    <row r="22" spans="1:9" x14ac:dyDescent="0.25">
      <c r="A22" s="4">
        <v>2012</v>
      </c>
      <c r="B22" s="3" t="s">
        <v>28</v>
      </c>
      <c r="C22" s="1" t="s">
        <v>5</v>
      </c>
      <c r="D22" s="2">
        <v>14575.130762205268</v>
      </c>
      <c r="E22" s="2">
        <v>0</v>
      </c>
      <c r="F22" s="2">
        <v>59422.941516379069</v>
      </c>
      <c r="G22" s="2">
        <f t="shared" si="2"/>
        <v>14575.130762205268</v>
      </c>
      <c r="H22" s="6">
        <f t="shared" si="3"/>
        <v>73998.072278584339</v>
      </c>
      <c r="I22" s="9">
        <f>Tabla2[[#This Row],[Desocupados]]/Tabla2[[#This Row],[PEA]]</f>
        <v>0</v>
      </c>
    </row>
    <row r="23" spans="1:9" x14ac:dyDescent="0.25">
      <c r="A23" s="4">
        <v>2012</v>
      </c>
      <c r="B23" s="3" t="s">
        <v>29</v>
      </c>
      <c r="C23" s="1" t="s">
        <v>5</v>
      </c>
      <c r="D23" s="2">
        <v>12339.253625801226</v>
      </c>
      <c r="E23" s="2">
        <v>0</v>
      </c>
      <c r="F23" s="2">
        <v>48438.573658574249</v>
      </c>
      <c r="G23" s="2">
        <f t="shared" si="2"/>
        <v>12339.253625801226</v>
      </c>
      <c r="H23" s="6">
        <f t="shared" si="3"/>
        <v>60777.827284375475</v>
      </c>
      <c r="I23" s="9">
        <f>Tabla2[[#This Row],[Desocupados]]/Tabla2[[#This Row],[PEA]]</f>
        <v>0</v>
      </c>
    </row>
    <row r="24" spans="1:9" x14ac:dyDescent="0.25">
      <c r="A24" s="4">
        <v>2013</v>
      </c>
      <c r="B24" s="3" t="s">
        <v>20</v>
      </c>
      <c r="C24" s="3" t="s">
        <v>4</v>
      </c>
      <c r="D24" s="2">
        <v>213069.22269573165</v>
      </c>
      <c r="E24" s="2">
        <v>6154.1085196335807</v>
      </c>
      <c r="F24" s="2">
        <v>11342.223751459447</v>
      </c>
      <c r="G24" s="2">
        <f t="shared" ref="G24:G33" si="4">D24+E24</f>
        <v>219223.33121536524</v>
      </c>
      <c r="H24" s="6">
        <f t="shared" ref="H24:H33" si="5">SUM(D24:F24)</f>
        <v>230565.55496682468</v>
      </c>
      <c r="I24" s="9">
        <f>Tabla2[[#This Row],[Desocupados]]/Tabla2[[#This Row],[PEA]]</f>
        <v>2.8072324626742296E-2</v>
      </c>
    </row>
    <row r="25" spans="1:9" x14ac:dyDescent="0.25">
      <c r="A25" s="10">
        <v>2013</v>
      </c>
      <c r="B25" s="1" t="s">
        <v>21</v>
      </c>
      <c r="C25" s="1" t="s">
        <v>4</v>
      </c>
      <c r="D25" s="2">
        <v>185582.47264939951</v>
      </c>
      <c r="E25" s="2">
        <v>6227.6271631774407</v>
      </c>
      <c r="F25" s="2">
        <v>11143.347972790867</v>
      </c>
      <c r="G25" s="2">
        <f t="shared" si="4"/>
        <v>191810.09981257695</v>
      </c>
      <c r="H25" s="6">
        <f t="shared" si="5"/>
        <v>202953.44778536781</v>
      </c>
      <c r="I25" s="9">
        <f>Tabla2[[#This Row],[Desocupados]]/Tabla2[[#This Row],[PEA]]</f>
        <v>3.2467670728823096E-2</v>
      </c>
    </row>
    <row r="26" spans="1:9" x14ac:dyDescent="0.25">
      <c r="A26" s="10">
        <v>2013</v>
      </c>
      <c r="B26" s="1" t="s">
        <v>22</v>
      </c>
      <c r="C26" s="1" t="s">
        <v>4</v>
      </c>
      <c r="D26" s="2">
        <v>173047.84483122511</v>
      </c>
      <c r="E26" s="2">
        <v>2637.78213508102</v>
      </c>
      <c r="F26" s="2">
        <v>4454.8630285000399</v>
      </c>
      <c r="G26" s="2">
        <f t="shared" si="4"/>
        <v>175685.62696630612</v>
      </c>
      <c r="H26" s="6">
        <f t="shared" si="5"/>
        <v>180140.48999480618</v>
      </c>
      <c r="I26" s="9">
        <f>Tabla2[[#This Row],[Desocupados]]/Tabla2[[#This Row],[PEA]]</f>
        <v>1.5014217045694393E-2</v>
      </c>
    </row>
    <row r="27" spans="1:9" x14ac:dyDescent="0.25">
      <c r="A27" s="10">
        <v>2013</v>
      </c>
      <c r="B27" s="1" t="s">
        <v>23</v>
      </c>
      <c r="C27" s="1" t="s">
        <v>4</v>
      </c>
      <c r="D27" s="2">
        <v>148546.81642515908</v>
      </c>
      <c r="E27" s="2">
        <v>3027.5179810305799</v>
      </c>
      <c r="F27" s="2">
        <v>5992.6468592051824</v>
      </c>
      <c r="G27" s="2">
        <f t="shared" si="4"/>
        <v>151574.33440618965</v>
      </c>
      <c r="H27" s="6">
        <f t="shared" si="5"/>
        <v>157566.98126539483</v>
      </c>
      <c r="I27" s="9">
        <f>Tabla2[[#This Row],[Desocupados]]/Tabla2[[#This Row],[PEA]]</f>
        <v>1.9973816760543526E-2</v>
      </c>
    </row>
    <row r="28" spans="1:9" x14ac:dyDescent="0.25">
      <c r="A28" s="10">
        <v>2013</v>
      </c>
      <c r="B28" s="1" t="s">
        <v>24</v>
      </c>
      <c r="C28" s="1" t="s">
        <v>4</v>
      </c>
      <c r="D28" s="2">
        <v>150136.42100153537</v>
      </c>
      <c r="E28" s="2">
        <v>5447.6373133882007</v>
      </c>
      <c r="F28" s="2">
        <v>10407.095952330485</v>
      </c>
      <c r="G28" s="2">
        <f t="shared" si="4"/>
        <v>155584.05831492358</v>
      </c>
      <c r="H28" s="6">
        <f t="shared" si="5"/>
        <v>165991.15426725405</v>
      </c>
      <c r="I28" s="9">
        <f>Tabla2[[#This Row],[Desocupados]]/Tabla2[[#This Row],[PEA]]</f>
        <v>3.5014109879827351E-2</v>
      </c>
    </row>
    <row r="29" spans="1:9" x14ac:dyDescent="0.25">
      <c r="A29" s="10">
        <v>2013</v>
      </c>
      <c r="B29" s="1" t="s">
        <v>25</v>
      </c>
      <c r="C29" s="1" t="s">
        <v>4</v>
      </c>
      <c r="D29" s="2">
        <v>114312.52479330137</v>
      </c>
      <c r="E29" s="2">
        <v>2293.7234404728797</v>
      </c>
      <c r="F29" s="2">
        <v>10699.289535036225</v>
      </c>
      <c r="G29" s="2">
        <f t="shared" si="4"/>
        <v>116606.24823377425</v>
      </c>
      <c r="H29" s="6">
        <f t="shared" si="5"/>
        <v>127305.53776881048</v>
      </c>
      <c r="I29" s="9">
        <f>Tabla2[[#This Row],[Desocupados]]/Tabla2[[#This Row],[PEA]]</f>
        <v>1.9670673529212455E-2</v>
      </c>
    </row>
    <row r="30" spans="1:9" x14ac:dyDescent="0.25">
      <c r="A30" s="10">
        <v>2013</v>
      </c>
      <c r="B30" s="1" t="s">
        <v>26</v>
      </c>
      <c r="C30" s="1" t="s">
        <v>4</v>
      </c>
      <c r="D30" s="2">
        <v>95149.984323435347</v>
      </c>
      <c r="E30" s="2">
        <v>609.85612857564001</v>
      </c>
      <c r="F30" s="2">
        <v>15355.476997495442</v>
      </c>
      <c r="G30" s="2">
        <f t="shared" si="4"/>
        <v>95759.840452010991</v>
      </c>
      <c r="H30" s="6">
        <f t="shared" si="5"/>
        <v>111115.31744950643</v>
      </c>
      <c r="I30" s="9">
        <f>Tabla2[[#This Row],[Desocupados]]/Tabla2[[#This Row],[PEA]]</f>
        <v>6.3686000905699381E-3</v>
      </c>
    </row>
    <row r="31" spans="1:9" x14ac:dyDescent="0.25">
      <c r="A31" s="10">
        <v>2013</v>
      </c>
      <c r="B31" s="1" t="s">
        <v>27</v>
      </c>
      <c r="C31" s="1" t="s">
        <v>4</v>
      </c>
      <c r="D31" s="2">
        <v>62362.344940264076</v>
      </c>
      <c r="E31" s="2">
        <v>538.71001407005997</v>
      </c>
      <c r="F31" s="2">
        <v>19287.944201347891</v>
      </c>
      <c r="G31" s="2">
        <f t="shared" si="4"/>
        <v>62901.054954334133</v>
      </c>
      <c r="H31" s="6">
        <f t="shared" si="5"/>
        <v>82188.999155682017</v>
      </c>
      <c r="I31" s="9">
        <f>Tabla2[[#This Row],[Desocupados]]/Tabla2[[#This Row],[PEA]]</f>
        <v>8.5644034819632332E-3</v>
      </c>
    </row>
    <row r="32" spans="1:9" x14ac:dyDescent="0.25">
      <c r="A32" s="10">
        <v>2013</v>
      </c>
      <c r="B32" s="1" t="s">
        <v>28</v>
      </c>
      <c r="C32" s="1" t="s">
        <v>4</v>
      </c>
      <c r="D32" s="2">
        <v>47778.152727818786</v>
      </c>
      <c r="E32" s="2">
        <v>470.97274438299996</v>
      </c>
      <c r="F32" s="2">
        <v>19928.12348137041</v>
      </c>
      <c r="G32" s="2">
        <f t="shared" si="4"/>
        <v>48249.125472201784</v>
      </c>
      <c r="H32" s="6">
        <f t="shared" si="5"/>
        <v>68177.248953572198</v>
      </c>
      <c r="I32" s="9">
        <f>Tabla2[[#This Row],[Desocupados]]/Tabla2[[#This Row],[PEA]]</f>
        <v>9.7612700701559009E-3</v>
      </c>
    </row>
    <row r="33" spans="1:9" x14ac:dyDescent="0.25">
      <c r="A33" s="10">
        <v>2013</v>
      </c>
      <c r="B33" s="1" t="s">
        <v>29</v>
      </c>
      <c r="C33" s="1" t="s">
        <v>4</v>
      </c>
      <c r="D33" s="2">
        <v>29196.483210665891</v>
      </c>
      <c r="E33" s="2">
        <v>0</v>
      </c>
      <c r="F33" s="2">
        <v>21001.17447516408</v>
      </c>
      <c r="G33" s="2">
        <f t="shared" si="4"/>
        <v>29196.483210665891</v>
      </c>
      <c r="H33" s="6">
        <f t="shared" si="5"/>
        <v>50197.657685829967</v>
      </c>
      <c r="I33" s="9">
        <f>Tabla2[[#This Row],[Desocupados]]/Tabla2[[#This Row],[PEA]]</f>
        <v>0</v>
      </c>
    </row>
    <row r="34" spans="1:9" x14ac:dyDescent="0.25">
      <c r="A34" s="10">
        <v>2013</v>
      </c>
      <c r="B34" s="3" t="s">
        <v>20</v>
      </c>
      <c r="C34" s="3" t="s">
        <v>5</v>
      </c>
      <c r="D34" s="2">
        <v>140595.77710999805</v>
      </c>
      <c r="E34" s="2">
        <v>11078.872531802755</v>
      </c>
      <c r="F34" s="2">
        <v>139175.30161987274</v>
      </c>
      <c r="G34" s="2">
        <f t="shared" ref="G34:G43" si="6">D34+E34</f>
        <v>151674.64964180079</v>
      </c>
      <c r="H34" s="6">
        <f t="shared" ref="H34:H43" si="7">SUM(D34:F34)</f>
        <v>290849.95126167353</v>
      </c>
      <c r="I34" s="9">
        <f>Tabla2[[#This Row],[Desocupados]]/Tabla2[[#This Row],[PEA]]</f>
        <v>7.3043666545246286E-2</v>
      </c>
    </row>
    <row r="35" spans="1:9" x14ac:dyDescent="0.25">
      <c r="A35" s="10">
        <v>2013</v>
      </c>
      <c r="B35" s="3" t="s">
        <v>21</v>
      </c>
      <c r="C35" s="1" t="s">
        <v>5</v>
      </c>
      <c r="D35" s="2">
        <v>139823.09099328925</v>
      </c>
      <c r="E35" s="2">
        <v>5878.3052526026213</v>
      </c>
      <c r="F35" s="2">
        <v>114186.59625964364</v>
      </c>
      <c r="G35" s="2">
        <f t="shared" si="6"/>
        <v>145701.39624589187</v>
      </c>
      <c r="H35" s="6">
        <f t="shared" si="7"/>
        <v>259887.99250553551</v>
      </c>
      <c r="I35" s="9">
        <f>Tabla2[[#This Row],[Desocupados]]/Tabla2[[#This Row],[PEA]]</f>
        <v>4.03448793495578E-2</v>
      </c>
    </row>
    <row r="36" spans="1:9" x14ac:dyDescent="0.25">
      <c r="A36" s="10">
        <v>2013</v>
      </c>
      <c r="B36" s="3" t="s">
        <v>22</v>
      </c>
      <c r="C36" s="1" t="s">
        <v>5</v>
      </c>
      <c r="D36" s="2">
        <v>141370.27510732357</v>
      </c>
      <c r="E36" s="2">
        <v>2457.5576299395598</v>
      </c>
      <c r="F36" s="2">
        <v>91494.477098192205</v>
      </c>
      <c r="G36" s="2">
        <f t="shared" si="6"/>
        <v>143827.83273726312</v>
      </c>
      <c r="H36" s="6">
        <f t="shared" si="7"/>
        <v>235322.30983545532</v>
      </c>
      <c r="I36" s="9">
        <f>Tabla2[[#This Row],[Desocupados]]/Tabla2[[#This Row],[PEA]]</f>
        <v>1.7086801512394979E-2</v>
      </c>
    </row>
    <row r="37" spans="1:9" x14ac:dyDescent="0.25">
      <c r="A37" s="10">
        <v>2013</v>
      </c>
      <c r="B37" s="3" t="s">
        <v>23</v>
      </c>
      <c r="C37" s="1" t="s">
        <v>5</v>
      </c>
      <c r="D37" s="2">
        <v>108641.96684038499</v>
      </c>
      <c r="E37" s="2">
        <v>1396.52791747422</v>
      </c>
      <c r="F37" s="2">
        <v>92206.678878631123</v>
      </c>
      <c r="G37" s="2">
        <f t="shared" si="6"/>
        <v>110038.49475785921</v>
      </c>
      <c r="H37" s="6">
        <f t="shared" si="7"/>
        <v>202245.17363649033</v>
      </c>
      <c r="I37" s="9">
        <f>Tabla2[[#This Row],[Desocupados]]/Tabla2[[#This Row],[PEA]]</f>
        <v>1.2691267002036818E-2</v>
      </c>
    </row>
    <row r="38" spans="1:9" x14ac:dyDescent="0.25">
      <c r="A38" s="10">
        <v>2013</v>
      </c>
      <c r="B38" s="3" t="s">
        <v>24</v>
      </c>
      <c r="C38" s="1" t="s">
        <v>5</v>
      </c>
      <c r="D38" s="2">
        <v>107895.06172272937</v>
      </c>
      <c r="E38" s="2">
        <v>1036.0789071913</v>
      </c>
      <c r="F38" s="2">
        <v>86869.115687025958</v>
      </c>
      <c r="G38" s="2">
        <f t="shared" si="6"/>
        <v>108931.14062992067</v>
      </c>
      <c r="H38" s="6">
        <f t="shared" si="7"/>
        <v>195800.25631694664</v>
      </c>
      <c r="I38" s="9">
        <f>Tabla2[[#This Row],[Desocupados]]/Tabla2[[#This Row],[PEA]]</f>
        <v>9.5113197309779646E-3</v>
      </c>
    </row>
    <row r="39" spans="1:9" x14ac:dyDescent="0.25">
      <c r="A39" s="10">
        <v>2013</v>
      </c>
      <c r="B39" s="3" t="s">
        <v>25</v>
      </c>
      <c r="C39" s="1" t="s">
        <v>5</v>
      </c>
      <c r="D39" s="2">
        <v>72546.366710537623</v>
      </c>
      <c r="E39" s="2">
        <v>180.22450514145999</v>
      </c>
      <c r="F39" s="2">
        <v>77281.905361969184</v>
      </c>
      <c r="G39" s="2">
        <f t="shared" si="6"/>
        <v>72726.591215679087</v>
      </c>
      <c r="H39" s="6">
        <f t="shared" si="7"/>
        <v>150008.49657764827</v>
      </c>
      <c r="I39" s="9">
        <f>Tabla2[[#This Row],[Desocupados]]/Tabla2[[#This Row],[PEA]]</f>
        <v>2.4781101675312054E-3</v>
      </c>
    </row>
    <row r="40" spans="1:9" x14ac:dyDescent="0.25">
      <c r="A40" s="10">
        <v>2013</v>
      </c>
      <c r="B40" s="3" t="s">
        <v>26</v>
      </c>
      <c r="C40" s="1" t="s">
        <v>5</v>
      </c>
      <c r="D40" s="2">
        <v>50890.465745232541</v>
      </c>
      <c r="E40" s="2">
        <v>180.22450514145999</v>
      </c>
      <c r="F40" s="2">
        <v>82842.546306375472</v>
      </c>
      <c r="G40" s="2">
        <f t="shared" si="6"/>
        <v>51070.690250373998</v>
      </c>
      <c r="H40" s="6">
        <f t="shared" si="7"/>
        <v>133913.23655674947</v>
      </c>
      <c r="I40" s="9">
        <f>Tabla2[[#This Row],[Desocupados]]/Tabla2[[#This Row],[PEA]]</f>
        <v>3.5289224456906605E-3</v>
      </c>
    </row>
    <row r="41" spans="1:9" x14ac:dyDescent="0.25">
      <c r="A41" s="10">
        <v>2013</v>
      </c>
      <c r="B41" s="3" t="s">
        <v>27</v>
      </c>
      <c r="C41" s="1" t="s">
        <v>5</v>
      </c>
      <c r="D41" s="2">
        <v>30813.768298813429</v>
      </c>
      <c r="E41" s="2">
        <v>0</v>
      </c>
      <c r="F41" s="2">
        <v>62703.137699552492</v>
      </c>
      <c r="G41" s="2">
        <f t="shared" si="6"/>
        <v>30813.768298813429</v>
      </c>
      <c r="H41" s="6">
        <f t="shared" si="7"/>
        <v>93516.905998365924</v>
      </c>
      <c r="I41" s="9">
        <f>Tabla2[[#This Row],[Desocupados]]/Tabla2[[#This Row],[PEA]]</f>
        <v>0</v>
      </c>
    </row>
    <row r="42" spans="1:9" x14ac:dyDescent="0.25">
      <c r="A42" s="10">
        <v>2013</v>
      </c>
      <c r="B42" s="3" t="s">
        <v>28</v>
      </c>
      <c r="C42" s="1" t="s">
        <v>5</v>
      </c>
      <c r="D42" s="2">
        <v>18211.621260510645</v>
      </c>
      <c r="E42" s="2">
        <v>0</v>
      </c>
      <c r="F42" s="2">
        <v>56592.033904744159</v>
      </c>
      <c r="G42" s="2">
        <f t="shared" si="6"/>
        <v>18211.621260510645</v>
      </c>
      <c r="H42" s="6">
        <f t="shared" si="7"/>
        <v>74803.655165254808</v>
      </c>
      <c r="I42" s="9">
        <f>Tabla2[[#This Row],[Desocupados]]/Tabla2[[#This Row],[PEA]]</f>
        <v>0</v>
      </c>
    </row>
    <row r="43" spans="1:9" x14ac:dyDescent="0.25">
      <c r="A43" s="10">
        <v>2013</v>
      </c>
      <c r="B43" s="3" t="s">
        <v>29</v>
      </c>
      <c r="C43" s="1" t="s">
        <v>5</v>
      </c>
      <c r="D43" s="2">
        <v>10890.532009679624</v>
      </c>
      <c r="E43" s="2">
        <v>0</v>
      </c>
      <c r="F43" s="2">
        <v>51736.883271772189</v>
      </c>
      <c r="G43" s="2">
        <f t="shared" si="6"/>
        <v>10890.532009679624</v>
      </c>
      <c r="H43" s="6">
        <f t="shared" si="7"/>
        <v>62627.415281451817</v>
      </c>
      <c r="I43" s="9">
        <f>Tabla2[[#This Row],[Desocupados]]/Tabla2[[#This Row],[PEA]]</f>
        <v>0</v>
      </c>
    </row>
    <row r="44" spans="1:9" x14ac:dyDescent="0.25">
      <c r="A44" s="4">
        <v>2014</v>
      </c>
      <c r="B44" s="1" t="s">
        <v>20</v>
      </c>
      <c r="C44" s="3" t="s">
        <v>4</v>
      </c>
      <c r="D44" s="2">
        <v>228717.49042301549</v>
      </c>
      <c r="E44" s="2">
        <v>9005.6776300639995</v>
      </c>
      <c r="F44" s="2">
        <v>12189.799869698003</v>
      </c>
      <c r="G44" s="2">
        <f>D44+E44</f>
        <v>237723.16805307948</v>
      </c>
      <c r="H44" s="6">
        <f>SUM(D44:F44)</f>
        <v>249912.96792277749</v>
      </c>
      <c r="I44" s="9">
        <f>Tabla2[[#This Row],[Desocupados]]/Tabla2[[#This Row],[PEA]]</f>
        <v>3.7883045661132979E-2</v>
      </c>
    </row>
    <row r="45" spans="1:9" x14ac:dyDescent="0.25">
      <c r="A45" s="4">
        <v>2014</v>
      </c>
      <c r="B45" s="1" t="s">
        <v>21</v>
      </c>
      <c r="C45" s="3" t="s">
        <v>4</v>
      </c>
      <c r="D45" s="2">
        <v>214631.61726837812</v>
      </c>
      <c r="E45" s="2">
        <v>8002.8334934279992</v>
      </c>
      <c r="F45" s="2">
        <v>9217.0331055290007</v>
      </c>
      <c r="G45" s="2">
        <f t="shared" ref="G45:G53" si="8">D45+E45</f>
        <v>222634.4507618061</v>
      </c>
      <c r="H45" s="6">
        <f t="shared" ref="H45:H53" si="9">SUM(D45:F45)</f>
        <v>231851.4838673351</v>
      </c>
      <c r="I45" s="9">
        <f>Tabla2[[#This Row],[Desocupados]]/Tabla2[[#This Row],[PEA]]</f>
        <v>3.5946069739180367E-2</v>
      </c>
    </row>
    <row r="46" spans="1:9" x14ac:dyDescent="0.25">
      <c r="A46" s="4">
        <v>2014</v>
      </c>
      <c r="B46" s="1" t="s">
        <v>22</v>
      </c>
      <c r="C46" s="3" t="s">
        <v>4</v>
      </c>
      <c r="D46" s="2">
        <v>187948.82286669384</v>
      </c>
      <c r="E46" s="2">
        <v>5196.9872882030004</v>
      </c>
      <c r="F46" s="2">
        <v>7394.319326509999</v>
      </c>
      <c r="G46" s="2">
        <f t="shared" si="8"/>
        <v>193145.81015489684</v>
      </c>
      <c r="H46" s="6">
        <f t="shared" si="9"/>
        <v>200540.12948140685</v>
      </c>
      <c r="I46" s="9">
        <f>Tabla2[[#This Row],[Desocupados]]/Tabla2[[#This Row],[PEA]]</f>
        <v>2.6907067173940664E-2</v>
      </c>
    </row>
    <row r="47" spans="1:9" x14ac:dyDescent="0.25">
      <c r="A47" s="4">
        <v>2014</v>
      </c>
      <c r="B47" s="1" t="s">
        <v>23</v>
      </c>
      <c r="C47" s="3" t="s">
        <v>4</v>
      </c>
      <c r="D47" s="2">
        <v>147044.87304033744</v>
      </c>
      <c r="E47" s="2">
        <v>4041.648531331</v>
      </c>
      <c r="F47" s="2">
        <v>6183.0353363419999</v>
      </c>
      <c r="G47" s="2">
        <f t="shared" si="8"/>
        <v>151086.52157166845</v>
      </c>
      <c r="H47" s="6">
        <f t="shared" si="9"/>
        <v>157269.55690801045</v>
      </c>
      <c r="I47" s="9">
        <f>Tabla2[[#This Row],[Desocupados]]/Tabla2[[#This Row],[PEA]]</f>
        <v>2.6750556497614708E-2</v>
      </c>
    </row>
    <row r="48" spans="1:9" x14ac:dyDescent="0.25">
      <c r="A48" s="4">
        <v>2014</v>
      </c>
      <c r="B48" s="1" t="s">
        <v>24</v>
      </c>
      <c r="C48" s="3" t="s">
        <v>4</v>
      </c>
      <c r="D48" s="2">
        <v>119628.30160450125</v>
      </c>
      <c r="E48" s="2">
        <v>4753.2904506649993</v>
      </c>
      <c r="F48" s="2">
        <v>9153.4710541730019</v>
      </c>
      <c r="G48" s="2">
        <f t="shared" si="8"/>
        <v>124381.59205516624</v>
      </c>
      <c r="H48" s="6">
        <f t="shared" si="9"/>
        <v>133535.06310933924</v>
      </c>
      <c r="I48" s="9">
        <f>Tabla2[[#This Row],[Desocupados]]/Tabla2[[#This Row],[PEA]]</f>
        <v>3.8215385187840338E-2</v>
      </c>
    </row>
    <row r="49" spans="1:9" x14ac:dyDescent="0.25">
      <c r="A49" s="4">
        <v>2014</v>
      </c>
      <c r="B49" s="1" t="s">
        <v>25</v>
      </c>
      <c r="C49" s="3" t="s">
        <v>4</v>
      </c>
      <c r="D49" s="2">
        <v>97839.636951615044</v>
      </c>
      <c r="E49" s="2">
        <v>1633.702000366</v>
      </c>
      <c r="F49" s="2">
        <v>9061.5371848079976</v>
      </c>
      <c r="G49" s="2">
        <f t="shared" si="8"/>
        <v>99473.338951981044</v>
      </c>
      <c r="H49" s="6">
        <f t="shared" si="9"/>
        <v>108534.87613678904</v>
      </c>
      <c r="I49" s="9">
        <f>Tabla2[[#This Row],[Desocupados]]/Tabla2[[#This Row],[PEA]]</f>
        <v>1.6423516266550982E-2</v>
      </c>
    </row>
    <row r="50" spans="1:9" x14ac:dyDescent="0.25">
      <c r="A50" s="4">
        <v>2014</v>
      </c>
      <c r="B50" s="1" t="s">
        <v>26</v>
      </c>
      <c r="C50" s="3" t="s">
        <v>4</v>
      </c>
      <c r="D50" s="2">
        <v>81241.475405838821</v>
      </c>
      <c r="E50" s="2">
        <v>2303.2192865659999</v>
      </c>
      <c r="F50" s="2">
        <v>14870.4457874</v>
      </c>
      <c r="G50" s="2">
        <f t="shared" si="8"/>
        <v>83544.694692404824</v>
      </c>
      <c r="H50" s="6">
        <f t="shared" si="9"/>
        <v>98415.140479804832</v>
      </c>
      <c r="I50" s="9">
        <f>Tabla2[[#This Row],[Desocupados]]/Tabla2[[#This Row],[PEA]]</f>
        <v>2.7568707923896322E-2</v>
      </c>
    </row>
    <row r="51" spans="1:9" x14ac:dyDescent="0.25">
      <c r="A51" s="4">
        <v>2014</v>
      </c>
      <c r="B51" s="1" t="s">
        <v>27</v>
      </c>
      <c r="C51" s="3" t="s">
        <v>4</v>
      </c>
      <c r="D51" s="2">
        <v>62553.969418935783</v>
      </c>
      <c r="E51" s="2">
        <v>1168.8393494949999</v>
      </c>
      <c r="F51" s="2">
        <v>22053.368814235004</v>
      </c>
      <c r="G51" s="2">
        <f t="shared" si="8"/>
        <v>63722.808768430783</v>
      </c>
      <c r="H51" s="6">
        <f t="shared" si="9"/>
        <v>85776.177582665783</v>
      </c>
      <c r="I51" s="9">
        <f>Tabla2[[#This Row],[Desocupados]]/Tabla2[[#This Row],[PEA]]</f>
        <v>1.8342558529436011E-2</v>
      </c>
    </row>
    <row r="52" spans="1:9" x14ac:dyDescent="0.25">
      <c r="A52" s="4">
        <v>2014</v>
      </c>
      <c r="B52" s="1" t="s">
        <v>28</v>
      </c>
      <c r="C52" s="3" t="s">
        <v>4</v>
      </c>
      <c r="D52" s="2">
        <v>30606.658148448016</v>
      </c>
      <c r="E52" s="2">
        <v>0</v>
      </c>
      <c r="F52" s="2">
        <v>20800.469775697999</v>
      </c>
      <c r="G52" s="2">
        <f t="shared" si="8"/>
        <v>30606.658148448016</v>
      </c>
      <c r="H52" s="6">
        <f t="shared" si="9"/>
        <v>51407.127924146014</v>
      </c>
      <c r="I52" s="9">
        <f>Tabla2[[#This Row],[Desocupados]]/Tabla2[[#This Row],[PEA]]</f>
        <v>0</v>
      </c>
    </row>
    <row r="53" spans="1:9" x14ac:dyDescent="0.25">
      <c r="A53" s="4">
        <v>2014</v>
      </c>
      <c r="B53" s="1" t="s">
        <v>29</v>
      </c>
      <c r="C53" s="3" t="s">
        <v>4</v>
      </c>
      <c r="D53" s="2">
        <v>21094.228593997013</v>
      </c>
      <c r="E53" s="2">
        <v>0</v>
      </c>
      <c r="F53" s="2">
        <v>18012.053708614003</v>
      </c>
      <c r="G53" s="2">
        <f t="shared" si="8"/>
        <v>21094.228593997013</v>
      </c>
      <c r="H53" s="6">
        <f t="shared" si="9"/>
        <v>39106.282302611013</v>
      </c>
      <c r="I53" s="9">
        <f>Tabla2[[#This Row],[Desocupados]]/Tabla2[[#This Row],[PEA]]</f>
        <v>0</v>
      </c>
    </row>
    <row r="54" spans="1:9" x14ac:dyDescent="0.25">
      <c r="A54" s="4">
        <v>2014</v>
      </c>
      <c r="B54" s="3" t="s">
        <v>20</v>
      </c>
      <c r="C54" s="3" t="s">
        <v>5</v>
      </c>
      <c r="D54" s="2">
        <v>176241.93374946268</v>
      </c>
      <c r="E54" s="2">
        <v>16509.529964606001</v>
      </c>
      <c r="F54" s="2">
        <v>113486.63489115909</v>
      </c>
      <c r="G54" s="2">
        <f>D54+E54</f>
        <v>192751.4637140687</v>
      </c>
      <c r="H54" s="6">
        <f>SUM(D54:F54)</f>
        <v>306238.09860522777</v>
      </c>
      <c r="I54" s="9">
        <f>Tabla2[[#This Row],[Desocupados]]/Tabla2[[#This Row],[PEA]]</f>
        <v>8.5651904512105609E-2</v>
      </c>
    </row>
    <row r="55" spans="1:9" x14ac:dyDescent="0.25">
      <c r="A55" s="4">
        <v>2014</v>
      </c>
      <c r="B55" s="3" t="s">
        <v>21</v>
      </c>
      <c r="C55" s="1" t="s">
        <v>5</v>
      </c>
      <c r="D55" s="2">
        <v>149773.02504969138</v>
      </c>
      <c r="E55" s="2">
        <v>7690.3256572700002</v>
      </c>
      <c r="F55" s="2">
        <v>113184.74744427911</v>
      </c>
      <c r="G55" s="2">
        <f>D55+E55</f>
        <v>157463.35070696138</v>
      </c>
      <c r="H55" s="6">
        <f>SUM(D55:F55)</f>
        <v>270648.0981512405</v>
      </c>
      <c r="I55" s="9">
        <f>Tabla2[[#This Row],[Desocupados]]/Tabla2[[#This Row],[PEA]]</f>
        <v>4.883882898936695E-2</v>
      </c>
    </row>
    <row r="56" spans="1:9" x14ac:dyDescent="0.25">
      <c r="A56" s="4">
        <v>2014</v>
      </c>
      <c r="B56" s="3" t="s">
        <v>22</v>
      </c>
      <c r="C56" s="1" t="s">
        <v>5</v>
      </c>
      <c r="D56" s="2">
        <v>131215.61316601417</v>
      </c>
      <c r="E56" s="2">
        <v>7050.1431448749991</v>
      </c>
      <c r="F56" s="2">
        <v>86882.106427582941</v>
      </c>
      <c r="G56" s="2">
        <f t="shared" ref="G56:G63" si="10">D56+E56</f>
        <v>138265.75631088918</v>
      </c>
      <c r="H56" s="6">
        <f t="shared" ref="H56:H63" si="11">SUM(D56:F56)</f>
        <v>225147.86273847212</v>
      </c>
      <c r="I56" s="9">
        <f>Tabla2[[#This Row],[Desocupados]]/Tabla2[[#This Row],[PEA]]</f>
        <v>5.0989799159112267E-2</v>
      </c>
    </row>
    <row r="57" spans="1:9" x14ac:dyDescent="0.25">
      <c r="A57" s="4">
        <v>2014</v>
      </c>
      <c r="B57" s="3" t="s">
        <v>23</v>
      </c>
      <c r="C57" s="1" t="s">
        <v>5</v>
      </c>
      <c r="D57" s="2">
        <v>103720.77845619316</v>
      </c>
      <c r="E57" s="2">
        <v>4304.0619396460006</v>
      </c>
      <c r="F57" s="2">
        <v>83540.617293573843</v>
      </c>
      <c r="G57" s="2">
        <f t="shared" si="10"/>
        <v>108024.84039583916</v>
      </c>
      <c r="H57" s="6">
        <f t="shared" si="11"/>
        <v>191565.45768941299</v>
      </c>
      <c r="I57" s="9">
        <f>Tabla2[[#This Row],[Desocupados]]/Tabla2[[#This Row],[PEA]]</f>
        <v>3.9843261270967656E-2</v>
      </c>
    </row>
    <row r="58" spans="1:9" x14ac:dyDescent="0.25">
      <c r="A58" s="4">
        <v>2014</v>
      </c>
      <c r="B58" s="3" t="s">
        <v>24</v>
      </c>
      <c r="C58" s="1" t="s">
        <v>5</v>
      </c>
      <c r="D58" s="2">
        <v>93858.110190618143</v>
      </c>
      <c r="E58" s="2">
        <v>735.31932628799996</v>
      </c>
      <c r="F58" s="2">
        <v>88448.628043193981</v>
      </c>
      <c r="G58" s="2">
        <f t="shared" si="10"/>
        <v>94593.429516906137</v>
      </c>
      <c r="H58" s="6">
        <f t="shared" si="11"/>
        <v>183042.0575601001</v>
      </c>
      <c r="I58" s="9">
        <f>Tabla2[[#This Row],[Desocupados]]/Tabla2[[#This Row],[PEA]]</f>
        <v>7.7734714772824745E-3</v>
      </c>
    </row>
    <row r="59" spans="1:9" x14ac:dyDescent="0.25">
      <c r="A59" s="4">
        <v>2014</v>
      </c>
      <c r="B59" s="3" t="s">
        <v>25</v>
      </c>
      <c r="C59" s="1" t="s">
        <v>5</v>
      </c>
      <c r="D59" s="2">
        <v>69710.91194393186</v>
      </c>
      <c r="E59" s="2">
        <v>824.16632619500001</v>
      </c>
      <c r="F59" s="2">
        <v>68500.520739895786</v>
      </c>
      <c r="G59" s="2">
        <f t="shared" si="10"/>
        <v>70535.078270126862</v>
      </c>
      <c r="H59" s="6">
        <f t="shared" si="11"/>
        <v>139035.59901002265</v>
      </c>
      <c r="I59" s="9">
        <f>Tabla2[[#This Row],[Desocupados]]/Tabla2[[#This Row],[PEA]]</f>
        <v>1.1684488716928983E-2</v>
      </c>
    </row>
    <row r="60" spans="1:9" x14ac:dyDescent="0.25">
      <c r="A60" s="4">
        <v>2014</v>
      </c>
      <c r="B60" s="3" t="s">
        <v>26</v>
      </c>
      <c r="C60" s="1" t="s">
        <v>5</v>
      </c>
      <c r="D60" s="2">
        <v>44186.889000385912</v>
      </c>
      <c r="E60" s="2">
        <v>0</v>
      </c>
      <c r="F60" s="2">
        <v>73065.569965763862</v>
      </c>
      <c r="G60" s="2">
        <f t="shared" si="10"/>
        <v>44186.889000385912</v>
      </c>
      <c r="H60" s="6">
        <f t="shared" si="11"/>
        <v>117252.45896614977</v>
      </c>
      <c r="I60" s="9">
        <f>Tabla2[[#This Row],[Desocupados]]/Tabla2[[#This Row],[PEA]]</f>
        <v>0</v>
      </c>
    </row>
    <row r="61" spans="1:9" x14ac:dyDescent="0.25">
      <c r="A61" s="4">
        <v>2014</v>
      </c>
      <c r="B61" s="3" t="s">
        <v>27</v>
      </c>
      <c r="C61" s="1" t="s">
        <v>5</v>
      </c>
      <c r="D61" s="2">
        <v>33853.188903372997</v>
      </c>
      <c r="E61" s="2">
        <v>0</v>
      </c>
      <c r="F61" s="2">
        <v>60886.34701496076</v>
      </c>
      <c r="G61" s="2">
        <f t="shared" si="10"/>
        <v>33853.188903372997</v>
      </c>
      <c r="H61" s="6">
        <f t="shared" si="11"/>
        <v>94739.535918333757</v>
      </c>
      <c r="I61" s="9">
        <f>Tabla2[[#This Row],[Desocupados]]/Tabla2[[#This Row],[PEA]]</f>
        <v>0</v>
      </c>
    </row>
    <row r="62" spans="1:9" x14ac:dyDescent="0.25">
      <c r="A62" s="4">
        <v>2014</v>
      </c>
      <c r="B62" s="3" t="s">
        <v>28</v>
      </c>
      <c r="C62" s="1" t="s">
        <v>5</v>
      </c>
      <c r="D62" s="2">
        <v>17131.220795647005</v>
      </c>
      <c r="E62" s="2">
        <v>0</v>
      </c>
      <c r="F62" s="2">
        <v>56057.568527185846</v>
      </c>
      <c r="G62" s="2">
        <f t="shared" si="10"/>
        <v>17131.220795647005</v>
      </c>
      <c r="H62" s="6">
        <f t="shared" si="11"/>
        <v>73188.789322832847</v>
      </c>
      <c r="I62" s="9">
        <f>Tabla2[[#This Row],[Desocupados]]/Tabla2[[#This Row],[PEA]]</f>
        <v>0</v>
      </c>
    </row>
    <row r="63" spans="1:9" x14ac:dyDescent="0.25">
      <c r="A63" s="4">
        <v>2014</v>
      </c>
      <c r="B63" s="3" t="s">
        <v>29</v>
      </c>
      <c r="C63" s="1" t="s">
        <v>5</v>
      </c>
      <c r="D63" s="2">
        <v>10812.493880986005</v>
      </c>
      <c r="E63" s="2">
        <v>0</v>
      </c>
      <c r="F63" s="2">
        <v>38101.970540342954</v>
      </c>
      <c r="G63" s="2">
        <f t="shared" si="10"/>
        <v>10812.493880986005</v>
      </c>
      <c r="H63" s="6">
        <f t="shared" si="11"/>
        <v>48914.464421328958</v>
      </c>
      <c r="I63" s="9">
        <f>Tabla2[[#This Row],[Desocupados]]/Tabla2[[#This Row],[PEA]]</f>
        <v>0</v>
      </c>
    </row>
    <row r="64" spans="1:9" x14ac:dyDescent="0.25">
      <c r="A64" s="4">
        <v>2015</v>
      </c>
      <c r="B64" s="1" t="s">
        <v>20</v>
      </c>
      <c r="C64" s="3" t="s">
        <v>4</v>
      </c>
      <c r="D64" s="2">
        <v>215734.65014690542</v>
      </c>
      <c r="E64" s="2">
        <v>7684.7915591016008</v>
      </c>
      <c r="F64" s="2">
        <v>11530.48485829108</v>
      </c>
      <c r="G64" s="2">
        <f>D64+E64</f>
        <v>223419.44170600703</v>
      </c>
      <c r="H64" s="6">
        <f>SUM(D64:F64)</f>
        <v>234949.9265642981</v>
      </c>
      <c r="I64" s="9">
        <f>Tabla2[[#This Row],[Desocupados]]/Tabla2[[#This Row],[PEA]]</f>
        <v>3.4396252628783569E-2</v>
      </c>
    </row>
    <row r="65" spans="1:9" x14ac:dyDescent="0.25">
      <c r="A65" s="4">
        <v>2015</v>
      </c>
      <c r="B65" s="1" t="s">
        <v>21</v>
      </c>
      <c r="C65" s="3" t="s">
        <v>4</v>
      </c>
      <c r="D65" s="2">
        <v>212344.63594083092</v>
      </c>
      <c r="E65" s="2">
        <v>6086.7864088652805</v>
      </c>
      <c r="F65" s="2">
        <v>7113.4828920356995</v>
      </c>
      <c r="G65" s="2">
        <f t="shared" ref="G65:G83" si="12">D65+E65</f>
        <v>218431.42234969619</v>
      </c>
      <c r="H65" s="6">
        <f t="shared" ref="H65:H83" si="13">SUM(D65:F65)</f>
        <v>225544.9052417319</v>
      </c>
      <c r="I65" s="9">
        <f>Tabla2[[#This Row],[Desocupados]]/Tabla2[[#This Row],[PEA]]</f>
        <v>2.7865891927951119E-2</v>
      </c>
    </row>
    <row r="66" spans="1:9" x14ac:dyDescent="0.25">
      <c r="A66" s="4">
        <v>2015</v>
      </c>
      <c r="B66" s="1" t="s">
        <v>22</v>
      </c>
      <c r="C66" s="3" t="s">
        <v>4</v>
      </c>
      <c r="D66" s="2">
        <v>183565.23087209923</v>
      </c>
      <c r="E66" s="2">
        <v>3153.8007864554797</v>
      </c>
      <c r="F66" s="2">
        <v>5755.4095003081611</v>
      </c>
      <c r="G66" s="2">
        <f t="shared" si="12"/>
        <v>186719.03165855471</v>
      </c>
      <c r="H66" s="6">
        <f t="shared" si="13"/>
        <v>192474.44115886287</v>
      </c>
      <c r="I66" s="9">
        <f>Tabla2[[#This Row],[Desocupados]]/Tabla2[[#This Row],[PEA]]</f>
        <v>1.6890623084542894E-2</v>
      </c>
    </row>
    <row r="67" spans="1:9" x14ac:dyDescent="0.25">
      <c r="A67" s="4">
        <v>2015</v>
      </c>
      <c r="B67" s="1" t="s">
        <v>23</v>
      </c>
      <c r="C67" s="3" t="s">
        <v>4</v>
      </c>
      <c r="D67" s="2">
        <v>156097.25477653687</v>
      </c>
      <c r="E67" s="2">
        <v>4996.5468275575195</v>
      </c>
      <c r="F67" s="2">
        <v>8235.9992593873012</v>
      </c>
      <c r="G67" s="2">
        <f t="shared" si="12"/>
        <v>161093.80160409439</v>
      </c>
      <c r="H67" s="6">
        <f t="shared" si="13"/>
        <v>169329.80086348168</v>
      </c>
      <c r="I67" s="9">
        <f>Tabla2[[#This Row],[Desocupados]]/Tabla2[[#This Row],[PEA]]</f>
        <v>3.1016381622410768E-2</v>
      </c>
    </row>
    <row r="68" spans="1:9" x14ac:dyDescent="0.25">
      <c r="A68" s="4">
        <v>2015</v>
      </c>
      <c r="B68" s="1" t="s">
        <v>24</v>
      </c>
      <c r="C68" s="3" t="s">
        <v>4</v>
      </c>
      <c r="D68" s="2">
        <v>131992.1081603934</v>
      </c>
      <c r="E68" s="2">
        <v>4107.2914714449998</v>
      </c>
      <c r="F68" s="2">
        <v>9779.7108564916816</v>
      </c>
      <c r="G68" s="2">
        <f t="shared" si="12"/>
        <v>136099.3996318384</v>
      </c>
      <c r="H68" s="6">
        <f t="shared" si="13"/>
        <v>145879.11048833007</v>
      </c>
      <c r="I68" s="9">
        <f>Tabla2[[#This Row],[Desocupados]]/Tabla2[[#This Row],[PEA]]</f>
        <v>3.0178615648236564E-2</v>
      </c>
    </row>
    <row r="69" spans="1:9" x14ac:dyDescent="0.25">
      <c r="A69" s="4">
        <v>2015</v>
      </c>
      <c r="B69" s="1" t="s">
        <v>25</v>
      </c>
      <c r="C69" s="3" t="s">
        <v>4</v>
      </c>
      <c r="D69" s="2">
        <v>108299.70770387995</v>
      </c>
      <c r="E69" s="2">
        <v>1835.6255245620996</v>
      </c>
      <c r="F69" s="2">
        <v>14156.951460375538</v>
      </c>
      <c r="G69" s="2">
        <f t="shared" si="12"/>
        <v>110135.33322844205</v>
      </c>
      <c r="H69" s="6">
        <f t="shared" si="13"/>
        <v>124292.28468881758</v>
      </c>
      <c r="I69" s="9">
        <f>Tabla2[[#This Row],[Desocupados]]/Tabla2[[#This Row],[PEA]]</f>
        <v>1.6666999324863856E-2</v>
      </c>
    </row>
    <row r="70" spans="1:9" x14ac:dyDescent="0.25">
      <c r="A70" s="4">
        <v>2015</v>
      </c>
      <c r="B70" s="1" t="s">
        <v>26</v>
      </c>
      <c r="C70" s="3" t="s">
        <v>4</v>
      </c>
      <c r="D70" s="2">
        <v>89180.155487982614</v>
      </c>
      <c r="E70" s="2">
        <v>2421.1753468508805</v>
      </c>
      <c r="F70" s="2">
        <v>17969.492096712162</v>
      </c>
      <c r="G70" s="2">
        <f t="shared" si="12"/>
        <v>91601.330834833498</v>
      </c>
      <c r="H70" s="6">
        <f t="shared" si="13"/>
        <v>109570.82293154566</v>
      </c>
      <c r="I70" s="9">
        <f>Tabla2[[#This Row],[Desocupados]]/Tabla2[[#This Row],[PEA]]</f>
        <v>2.643166125191462E-2</v>
      </c>
    </row>
    <row r="71" spans="1:9" x14ac:dyDescent="0.25">
      <c r="A71" s="4">
        <v>2015</v>
      </c>
      <c r="B71" s="1" t="s">
        <v>27</v>
      </c>
      <c r="C71" s="3" t="s">
        <v>4</v>
      </c>
      <c r="D71" s="2">
        <v>65504.35969796381</v>
      </c>
      <c r="E71" s="2">
        <v>893.50923097500004</v>
      </c>
      <c r="F71" s="2">
        <v>19858.759615691975</v>
      </c>
      <c r="G71" s="2">
        <f t="shared" si="12"/>
        <v>66397.868928938813</v>
      </c>
      <c r="H71" s="6">
        <f t="shared" si="13"/>
        <v>86256.628544630788</v>
      </c>
      <c r="I71" s="9">
        <f>Tabla2[[#This Row],[Desocupados]]/Tabla2[[#This Row],[PEA]]</f>
        <v>1.3456896213510452E-2</v>
      </c>
    </row>
    <row r="72" spans="1:9" x14ac:dyDescent="0.25">
      <c r="A72" s="4">
        <v>2015</v>
      </c>
      <c r="B72" s="1" t="s">
        <v>28</v>
      </c>
      <c r="C72" s="3" t="s">
        <v>4</v>
      </c>
      <c r="D72" s="2">
        <v>34643.255707748962</v>
      </c>
      <c r="E72" s="2">
        <v>752.80548051096002</v>
      </c>
      <c r="F72" s="2">
        <v>19265.430992637219</v>
      </c>
      <c r="G72" s="2">
        <f t="shared" si="12"/>
        <v>35396.061188259919</v>
      </c>
      <c r="H72" s="6">
        <f t="shared" si="13"/>
        <v>54661.492180897141</v>
      </c>
      <c r="I72" s="9">
        <f>Tabla2[[#This Row],[Desocupados]]/Tabla2[[#This Row],[PEA]]</f>
        <v>2.1268057948793714E-2</v>
      </c>
    </row>
    <row r="73" spans="1:9" x14ac:dyDescent="0.25">
      <c r="A73" s="4">
        <v>2015</v>
      </c>
      <c r="B73" s="1" t="s">
        <v>29</v>
      </c>
      <c r="C73" s="3" t="s">
        <v>4</v>
      </c>
      <c r="D73" s="2">
        <v>25274.271950401999</v>
      </c>
      <c r="E73" s="2">
        <v>0</v>
      </c>
      <c r="F73" s="2">
        <v>22182.192813354744</v>
      </c>
      <c r="G73" s="2">
        <f t="shared" si="12"/>
        <v>25274.271950401999</v>
      </c>
      <c r="H73" s="6">
        <f t="shared" si="13"/>
        <v>47456.46476375674</v>
      </c>
      <c r="I73" s="9">
        <f>Tabla2[[#This Row],[Desocupados]]/Tabla2[[#This Row],[PEA]]</f>
        <v>0</v>
      </c>
    </row>
    <row r="74" spans="1:9" x14ac:dyDescent="0.25">
      <c r="A74" s="4">
        <v>2015</v>
      </c>
      <c r="B74" s="3" t="s">
        <v>20</v>
      </c>
      <c r="C74" s="3" t="s">
        <v>5</v>
      </c>
      <c r="D74" s="2">
        <v>169335.72700445878</v>
      </c>
      <c r="E74" s="2">
        <v>13669.042107611238</v>
      </c>
      <c r="F74" s="2">
        <v>135185.31184423278</v>
      </c>
      <c r="G74" s="2">
        <f t="shared" si="12"/>
        <v>183004.76911207</v>
      </c>
      <c r="H74" s="6">
        <f t="shared" si="13"/>
        <v>318190.08095630282</v>
      </c>
      <c r="I74" s="9">
        <f>Tabla2[[#This Row],[Desocupados]]/Tabla2[[#This Row],[PEA]]</f>
        <v>7.4692272632744749E-2</v>
      </c>
    </row>
    <row r="75" spans="1:9" x14ac:dyDescent="0.25">
      <c r="A75" s="4">
        <v>2015</v>
      </c>
      <c r="B75" s="3" t="s">
        <v>21</v>
      </c>
      <c r="C75" s="1" t="s">
        <v>5</v>
      </c>
      <c r="D75" s="2">
        <v>181221.13234498765</v>
      </c>
      <c r="E75" s="2">
        <v>8212.848893537619</v>
      </c>
      <c r="F75" s="2">
        <v>118537.62629024238</v>
      </c>
      <c r="G75" s="2">
        <f t="shared" si="12"/>
        <v>189433.98123852527</v>
      </c>
      <c r="H75" s="6">
        <f t="shared" si="13"/>
        <v>307971.60752876766</v>
      </c>
      <c r="I75" s="9">
        <f>Tabla2[[#This Row],[Desocupados]]/Tabla2[[#This Row],[PEA]]</f>
        <v>4.3354676071535619E-2</v>
      </c>
    </row>
    <row r="76" spans="1:9" x14ac:dyDescent="0.25">
      <c r="A76" s="4">
        <v>2015</v>
      </c>
      <c r="B76" s="3" t="s">
        <v>22</v>
      </c>
      <c r="C76" s="1" t="s">
        <v>5</v>
      </c>
      <c r="D76" s="2">
        <v>133323.51179607672</v>
      </c>
      <c r="E76" s="2">
        <v>9726.7321374042585</v>
      </c>
      <c r="F76" s="2">
        <v>86075.445278907282</v>
      </c>
      <c r="G76" s="2">
        <f t="shared" si="12"/>
        <v>143050.24393348099</v>
      </c>
      <c r="H76" s="6">
        <f t="shared" si="13"/>
        <v>229125.68921238827</v>
      </c>
      <c r="I76" s="9">
        <f>Tabla2[[#This Row],[Desocupados]]/Tabla2[[#This Row],[PEA]]</f>
        <v>6.7995215316984936E-2</v>
      </c>
    </row>
    <row r="77" spans="1:9" x14ac:dyDescent="0.25">
      <c r="A77" s="4">
        <v>2015</v>
      </c>
      <c r="B77" s="3" t="s">
        <v>23</v>
      </c>
      <c r="C77" s="1" t="s">
        <v>5</v>
      </c>
      <c r="D77" s="2">
        <v>112687.71614574149</v>
      </c>
      <c r="E77" s="2">
        <v>10554.088965369319</v>
      </c>
      <c r="F77" s="2">
        <v>78240.747159326304</v>
      </c>
      <c r="G77" s="2">
        <f t="shared" si="12"/>
        <v>123241.80511111081</v>
      </c>
      <c r="H77" s="6">
        <f t="shared" si="13"/>
        <v>201482.55227043713</v>
      </c>
      <c r="I77" s="9">
        <f>Tabla2[[#This Row],[Desocupados]]/Tabla2[[#This Row],[PEA]]</f>
        <v>8.5637247489633042E-2</v>
      </c>
    </row>
    <row r="78" spans="1:9" x14ac:dyDescent="0.25">
      <c r="A78" s="4">
        <v>2015</v>
      </c>
      <c r="B78" s="3" t="s">
        <v>24</v>
      </c>
      <c r="C78" s="1" t="s">
        <v>5</v>
      </c>
      <c r="D78" s="2">
        <v>99428.840949216072</v>
      </c>
      <c r="E78" s="2">
        <v>7699.3106663334211</v>
      </c>
      <c r="F78" s="2">
        <v>77369.553956621152</v>
      </c>
      <c r="G78" s="2">
        <f t="shared" si="12"/>
        <v>107128.15161554949</v>
      </c>
      <c r="H78" s="6">
        <f t="shared" si="13"/>
        <v>184497.70557217064</v>
      </c>
      <c r="I78" s="9">
        <f>Tabla2[[#This Row],[Desocupados]]/Tabla2[[#This Row],[PEA]]</f>
        <v>7.187009717075972E-2</v>
      </c>
    </row>
    <row r="79" spans="1:9" x14ac:dyDescent="0.25">
      <c r="A79" s="4">
        <v>2015</v>
      </c>
      <c r="B79" s="3" t="s">
        <v>25</v>
      </c>
      <c r="C79" s="1" t="s">
        <v>5</v>
      </c>
      <c r="D79" s="2">
        <v>73303.662591039887</v>
      </c>
      <c r="E79" s="2">
        <v>2158.2706256091401</v>
      </c>
      <c r="F79" s="2">
        <v>77360.377572906727</v>
      </c>
      <c r="G79" s="2">
        <f t="shared" si="12"/>
        <v>75461.93321664902</v>
      </c>
      <c r="H79" s="6">
        <f t="shared" si="13"/>
        <v>152822.31078955575</v>
      </c>
      <c r="I79" s="9">
        <f>Tabla2[[#This Row],[Desocupados]]/Tabla2[[#This Row],[PEA]]</f>
        <v>2.8600786298607111E-2</v>
      </c>
    </row>
    <row r="80" spans="1:9" x14ac:dyDescent="0.25">
      <c r="A80" s="4">
        <v>2015</v>
      </c>
      <c r="B80" s="3" t="s">
        <v>26</v>
      </c>
      <c r="C80" s="1" t="s">
        <v>5</v>
      </c>
      <c r="D80" s="2">
        <v>55706.720534515276</v>
      </c>
      <c r="E80" s="2">
        <v>1515.8035994248801</v>
      </c>
      <c r="F80" s="2">
        <v>73088.844114502528</v>
      </c>
      <c r="G80" s="2">
        <f t="shared" si="12"/>
        <v>57222.524133940155</v>
      </c>
      <c r="H80" s="6">
        <f t="shared" si="13"/>
        <v>130311.36824844268</v>
      </c>
      <c r="I80" s="9">
        <f>Tabla2[[#This Row],[Desocupados]]/Tabla2[[#This Row],[PEA]]</f>
        <v>2.6489631877769926E-2</v>
      </c>
    </row>
    <row r="81" spans="1:9" x14ac:dyDescent="0.25">
      <c r="A81" s="4">
        <v>2015</v>
      </c>
      <c r="B81" s="3" t="s">
        <v>27</v>
      </c>
      <c r="C81" s="1" t="s">
        <v>5</v>
      </c>
      <c r="D81" s="2">
        <v>28536.908245975421</v>
      </c>
      <c r="E81" s="2">
        <v>842.36494892279995</v>
      </c>
      <c r="F81" s="2">
        <v>65248.875311757467</v>
      </c>
      <c r="G81" s="2">
        <f t="shared" si="12"/>
        <v>29379.273194898222</v>
      </c>
      <c r="H81" s="6">
        <f t="shared" si="13"/>
        <v>94628.148506655692</v>
      </c>
      <c r="I81" s="9">
        <f>Tabla2[[#This Row],[Desocupados]]/Tabla2[[#This Row],[PEA]]</f>
        <v>2.8672082639167484E-2</v>
      </c>
    </row>
    <row r="82" spans="1:9" x14ac:dyDescent="0.25">
      <c r="A82" s="4">
        <v>2015</v>
      </c>
      <c r="B82" s="3" t="s">
        <v>28</v>
      </c>
      <c r="C82" s="1" t="s">
        <v>5</v>
      </c>
      <c r="D82" s="2">
        <v>12555.971890528079</v>
      </c>
      <c r="E82" s="2">
        <v>0</v>
      </c>
      <c r="F82" s="2">
        <v>55261.818139524505</v>
      </c>
      <c r="G82" s="2">
        <f t="shared" si="12"/>
        <v>12555.971890528079</v>
      </c>
      <c r="H82" s="6">
        <f t="shared" si="13"/>
        <v>67817.79003005258</v>
      </c>
      <c r="I82" s="9">
        <f>Tabla2[[#This Row],[Desocupados]]/Tabla2[[#This Row],[PEA]]</f>
        <v>0</v>
      </c>
    </row>
    <row r="83" spans="1:9" x14ac:dyDescent="0.25">
      <c r="A83" s="4">
        <v>2015</v>
      </c>
      <c r="B83" s="3" t="s">
        <v>29</v>
      </c>
      <c r="C83" s="1" t="s">
        <v>5</v>
      </c>
      <c r="D83" s="2">
        <v>15031.537009779915</v>
      </c>
      <c r="E83" s="2">
        <v>0</v>
      </c>
      <c r="F83" s="2">
        <v>38983.850728456986</v>
      </c>
      <c r="G83" s="2">
        <f t="shared" si="12"/>
        <v>15031.537009779915</v>
      </c>
      <c r="H83" s="6">
        <f t="shared" si="13"/>
        <v>54015.387738236903</v>
      </c>
      <c r="I83" s="9">
        <f>Tabla2[[#This Row],[Desocupados]]/Tabla2[[#This Row],[PEA]]</f>
        <v>0</v>
      </c>
    </row>
    <row r="84" spans="1:9" x14ac:dyDescent="0.25">
      <c r="A84" s="4">
        <v>2016</v>
      </c>
      <c r="B84" s="1" t="s">
        <v>20</v>
      </c>
      <c r="C84" s="3" t="s">
        <v>4</v>
      </c>
      <c r="D84" s="2">
        <v>240558.36636666788</v>
      </c>
      <c r="E84" s="2">
        <v>8538.5496098920848</v>
      </c>
      <c r="F84" s="2">
        <v>13612.338006756179</v>
      </c>
      <c r="G84" s="2">
        <f>D84+E84</f>
        <v>249096.91597655998</v>
      </c>
      <c r="H84" s="6">
        <f>SUM(D84:F84)</f>
        <v>262709.25398331613</v>
      </c>
      <c r="I84" s="9">
        <f>Tabla2[[#This Row],[Desocupados]]/Tabla2[[#This Row],[PEA]]</f>
        <v>3.4278022176298488E-2</v>
      </c>
    </row>
    <row r="85" spans="1:9" x14ac:dyDescent="0.25">
      <c r="A85" s="4">
        <v>2016</v>
      </c>
      <c r="B85" s="1" t="s">
        <v>21</v>
      </c>
      <c r="C85" s="3" t="s">
        <v>4</v>
      </c>
      <c r="D85" s="2">
        <v>205659.94390175972</v>
      </c>
      <c r="E85" s="2">
        <v>5008.7796937839275</v>
      </c>
      <c r="F85" s="2">
        <v>6597.6736250264712</v>
      </c>
      <c r="G85" s="2">
        <f t="shared" ref="G85:G103" si="14">D85+E85</f>
        <v>210668.72359554365</v>
      </c>
      <c r="H85" s="6">
        <f t="shared" ref="H85:H103" si="15">SUM(D85:F85)</f>
        <v>217266.39722057013</v>
      </c>
      <c r="I85" s="9">
        <f>Tabla2[[#This Row],[Desocupados]]/Tabla2[[#This Row],[PEA]]</f>
        <v>2.3775620833969301E-2</v>
      </c>
    </row>
    <row r="86" spans="1:9" x14ac:dyDescent="0.25">
      <c r="A86" s="4">
        <v>2016</v>
      </c>
      <c r="B86" s="1" t="s">
        <v>22</v>
      </c>
      <c r="C86" s="3" t="s">
        <v>4</v>
      </c>
      <c r="D86" s="2">
        <v>182030.85740263329</v>
      </c>
      <c r="E86" s="2">
        <v>6372.4442502108459</v>
      </c>
      <c r="F86" s="2">
        <v>7132.0002414971559</v>
      </c>
      <c r="G86" s="2">
        <f t="shared" si="14"/>
        <v>188403.30165284415</v>
      </c>
      <c r="H86" s="6">
        <f t="shared" si="15"/>
        <v>195535.3018943413</v>
      </c>
      <c r="I86" s="9">
        <f>Tabla2[[#This Row],[Desocupados]]/Tabla2[[#This Row],[PEA]]</f>
        <v>3.3823421321739065E-2</v>
      </c>
    </row>
    <row r="87" spans="1:9" x14ac:dyDescent="0.25">
      <c r="A87" s="4">
        <v>2016</v>
      </c>
      <c r="B87" s="1" t="s">
        <v>23</v>
      </c>
      <c r="C87" s="3" t="s">
        <v>4</v>
      </c>
      <c r="D87" s="2">
        <v>163717.63758402443</v>
      </c>
      <c r="E87" s="2">
        <v>2880.1754663029419</v>
      </c>
      <c r="F87" s="2">
        <v>8219.8735915659836</v>
      </c>
      <c r="G87" s="2">
        <f t="shared" si="14"/>
        <v>166597.81305032736</v>
      </c>
      <c r="H87" s="6">
        <f t="shared" si="15"/>
        <v>174817.68664189335</v>
      </c>
      <c r="I87" s="9">
        <f>Tabla2[[#This Row],[Desocupados]]/Tabla2[[#This Row],[PEA]]</f>
        <v>1.7288194926261564E-2</v>
      </c>
    </row>
    <row r="88" spans="1:9" x14ac:dyDescent="0.25">
      <c r="A88" s="4">
        <v>2016</v>
      </c>
      <c r="B88" s="1" t="s">
        <v>24</v>
      </c>
      <c r="C88" s="3" t="s">
        <v>4</v>
      </c>
      <c r="D88" s="2">
        <v>139459.14288332319</v>
      </c>
      <c r="E88" s="2">
        <v>4591.0066734572702</v>
      </c>
      <c r="F88" s="2">
        <v>12093.29863793826</v>
      </c>
      <c r="G88" s="2">
        <f t="shared" si="14"/>
        <v>144050.14955678047</v>
      </c>
      <c r="H88" s="6">
        <f t="shared" si="15"/>
        <v>156143.44819471872</v>
      </c>
      <c r="I88" s="9">
        <f>Tabla2[[#This Row],[Desocupados]]/Tabla2[[#This Row],[PEA]]</f>
        <v>3.187089140541035E-2</v>
      </c>
    </row>
    <row r="89" spans="1:9" x14ac:dyDescent="0.25">
      <c r="A89" s="4">
        <v>2016</v>
      </c>
      <c r="B89" s="1" t="s">
        <v>25</v>
      </c>
      <c r="C89" s="3" t="s">
        <v>4</v>
      </c>
      <c r="D89" s="2">
        <v>115781.63198187233</v>
      </c>
      <c r="E89" s="2">
        <v>6516.4099098966253</v>
      </c>
      <c r="F89" s="2">
        <v>13405.72342436154</v>
      </c>
      <c r="G89" s="2">
        <f t="shared" si="14"/>
        <v>122298.04189176895</v>
      </c>
      <c r="H89" s="6">
        <f t="shared" si="15"/>
        <v>135703.76531613051</v>
      </c>
      <c r="I89" s="9">
        <f>Tabla2[[#This Row],[Desocupados]]/Tabla2[[#This Row],[PEA]]</f>
        <v>5.3283027341218619E-2</v>
      </c>
    </row>
    <row r="90" spans="1:9" x14ac:dyDescent="0.25">
      <c r="A90" s="4">
        <v>2016</v>
      </c>
      <c r="B90" s="1" t="s">
        <v>26</v>
      </c>
      <c r="C90" s="3" t="s">
        <v>4</v>
      </c>
      <c r="D90" s="2">
        <v>99214.863761153858</v>
      </c>
      <c r="E90" s="2">
        <v>2585.9098987815169</v>
      </c>
      <c r="F90" s="2">
        <v>17721.14258807819</v>
      </c>
      <c r="G90" s="2">
        <f t="shared" si="14"/>
        <v>101800.77365993538</v>
      </c>
      <c r="H90" s="6">
        <f t="shared" si="15"/>
        <v>119521.91624801357</v>
      </c>
      <c r="I90" s="9">
        <f>Tabla2[[#This Row],[Desocupados]]/Tabla2[[#This Row],[PEA]]</f>
        <v>2.5401672362724146E-2</v>
      </c>
    </row>
    <row r="91" spans="1:9" x14ac:dyDescent="0.25">
      <c r="A91" s="4">
        <v>2016</v>
      </c>
      <c r="B91" s="1" t="s">
        <v>27</v>
      </c>
      <c r="C91" s="3" t="s">
        <v>4</v>
      </c>
      <c r="D91" s="2">
        <v>58853.204906909697</v>
      </c>
      <c r="E91" s="2">
        <v>1446.0243356881319</v>
      </c>
      <c r="F91" s="2">
        <v>26691.805450933876</v>
      </c>
      <c r="G91" s="2">
        <f t="shared" si="14"/>
        <v>60299.22924259783</v>
      </c>
      <c r="H91" s="6">
        <f t="shared" si="15"/>
        <v>86991.034693531707</v>
      </c>
      <c r="I91" s="9">
        <f>Tabla2[[#This Row],[Desocupados]]/Tabla2[[#This Row],[PEA]]</f>
        <v>2.3980809603227921E-2</v>
      </c>
    </row>
    <row r="92" spans="1:9" x14ac:dyDescent="0.25">
      <c r="A92" s="4">
        <v>2016</v>
      </c>
      <c r="B92" s="1" t="s">
        <v>28</v>
      </c>
      <c r="C92" s="3" t="s">
        <v>4</v>
      </c>
      <c r="D92" s="2">
        <v>30639.913009279018</v>
      </c>
      <c r="E92" s="2">
        <v>714.322274608886</v>
      </c>
      <c r="F92" s="2">
        <v>21211.957583256135</v>
      </c>
      <c r="G92" s="2">
        <f t="shared" si="14"/>
        <v>31354.235283887905</v>
      </c>
      <c r="H92" s="6">
        <f t="shared" si="15"/>
        <v>52566.19286714404</v>
      </c>
      <c r="I92" s="9">
        <f>Tabla2[[#This Row],[Desocupados]]/Tabla2[[#This Row],[PEA]]</f>
        <v>2.2782321690873991E-2</v>
      </c>
    </row>
    <row r="93" spans="1:9" x14ac:dyDescent="0.25">
      <c r="A93" s="4">
        <v>2016</v>
      </c>
      <c r="B93" s="1" t="s">
        <v>29</v>
      </c>
      <c r="C93" s="3" t="s">
        <v>4</v>
      </c>
      <c r="D93" s="2">
        <v>25189.558756238563</v>
      </c>
      <c r="E93" s="2">
        <v>0</v>
      </c>
      <c r="F93" s="2">
        <v>25374.732334576423</v>
      </c>
      <c r="G93" s="2">
        <f t="shared" si="14"/>
        <v>25189.558756238563</v>
      </c>
      <c r="H93" s="6">
        <f t="shared" si="15"/>
        <v>50564.291090814986</v>
      </c>
      <c r="I93" s="9">
        <f>Tabla2[[#This Row],[Desocupados]]/Tabla2[[#This Row],[PEA]]</f>
        <v>0</v>
      </c>
    </row>
    <row r="94" spans="1:9" x14ac:dyDescent="0.25">
      <c r="A94" s="4">
        <v>2016</v>
      </c>
      <c r="B94" s="3" t="s">
        <v>20</v>
      </c>
      <c r="C94" s="3" t="s">
        <v>5</v>
      </c>
      <c r="D94" s="2">
        <v>174916.98445619436</v>
      </c>
      <c r="E94" s="2">
        <v>11947.80098723536</v>
      </c>
      <c r="F94" s="2">
        <v>130319.65142317774</v>
      </c>
      <c r="G94" s="2">
        <f t="shared" si="14"/>
        <v>186864.78544342972</v>
      </c>
      <c r="H94" s="6">
        <f t="shared" si="15"/>
        <v>317184.43686660746</v>
      </c>
      <c r="I94" s="9">
        <f>Tabla2[[#This Row],[Desocupados]]/Tabla2[[#This Row],[PEA]]</f>
        <v>6.3938215854224517E-2</v>
      </c>
    </row>
    <row r="95" spans="1:9" x14ac:dyDescent="0.25">
      <c r="A95" s="4">
        <v>2016</v>
      </c>
      <c r="B95" s="3" t="s">
        <v>21</v>
      </c>
      <c r="C95" s="1" t="s">
        <v>5</v>
      </c>
      <c r="D95" s="2">
        <v>166459.43109449794</v>
      </c>
      <c r="E95" s="2">
        <v>10509.041904594946</v>
      </c>
      <c r="F95" s="2">
        <v>106318.6952401873</v>
      </c>
      <c r="G95" s="2">
        <f t="shared" si="14"/>
        <v>176968.47299909289</v>
      </c>
      <c r="H95" s="6">
        <f t="shared" si="15"/>
        <v>283287.16823928017</v>
      </c>
      <c r="I95" s="9">
        <f>Tabla2[[#This Row],[Desocupados]]/Tabla2[[#This Row],[PEA]]</f>
        <v>5.9383695448673578E-2</v>
      </c>
    </row>
    <row r="96" spans="1:9" x14ac:dyDescent="0.25">
      <c r="A96" s="4">
        <v>2016</v>
      </c>
      <c r="B96" s="3" t="s">
        <v>22</v>
      </c>
      <c r="C96" s="1" t="s">
        <v>5</v>
      </c>
      <c r="D96" s="2">
        <v>148976.20552456495</v>
      </c>
      <c r="E96" s="2">
        <v>6832.9682097186014</v>
      </c>
      <c r="F96" s="2">
        <v>102348.58687475692</v>
      </c>
      <c r="G96" s="2">
        <f t="shared" si="14"/>
        <v>155809.17373428354</v>
      </c>
      <c r="H96" s="6">
        <f t="shared" si="15"/>
        <v>258157.76060904044</v>
      </c>
      <c r="I96" s="9">
        <f>Tabla2[[#This Row],[Desocupados]]/Tabla2[[#This Row],[PEA]]</f>
        <v>4.385472335134466E-2</v>
      </c>
    </row>
    <row r="97" spans="1:9" x14ac:dyDescent="0.25">
      <c r="A97" s="4">
        <v>2016</v>
      </c>
      <c r="B97" s="3" t="s">
        <v>23</v>
      </c>
      <c r="C97" s="1" t="s">
        <v>5</v>
      </c>
      <c r="D97" s="2">
        <v>119654.75712872228</v>
      </c>
      <c r="E97" s="2">
        <v>2602.6471216948771</v>
      </c>
      <c r="F97" s="2">
        <v>87996.475946675826</v>
      </c>
      <c r="G97" s="2">
        <f t="shared" si="14"/>
        <v>122257.40425041715</v>
      </c>
      <c r="H97" s="6">
        <f t="shared" si="15"/>
        <v>210253.88019709298</v>
      </c>
      <c r="I97" s="9">
        <f>Tabla2[[#This Row],[Desocupados]]/Tabla2[[#This Row],[PEA]]</f>
        <v>2.1288257653204645E-2</v>
      </c>
    </row>
    <row r="98" spans="1:9" x14ac:dyDescent="0.25">
      <c r="A98" s="4">
        <v>2016</v>
      </c>
      <c r="B98" s="3" t="s">
        <v>24</v>
      </c>
      <c r="C98" s="1" t="s">
        <v>5</v>
      </c>
      <c r="D98" s="2">
        <v>98903.40497366029</v>
      </c>
      <c r="E98" s="2">
        <v>2536.66609890881</v>
      </c>
      <c r="F98" s="2">
        <v>90992.274222321968</v>
      </c>
      <c r="G98" s="2">
        <f t="shared" si="14"/>
        <v>101440.0710725691</v>
      </c>
      <c r="H98" s="6">
        <f t="shared" si="15"/>
        <v>192432.34529489107</v>
      </c>
      <c r="I98" s="9">
        <f>Tabla2[[#This Row],[Desocupados]]/Tabla2[[#This Row],[PEA]]</f>
        <v>2.5006548911959133E-2</v>
      </c>
    </row>
    <row r="99" spans="1:9" x14ac:dyDescent="0.25">
      <c r="A99" s="4">
        <v>2016</v>
      </c>
      <c r="B99" s="3" t="s">
        <v>25</v>
      </c>
      <c r="C99" s="1" t="s">
        <v>5</v>
      </c>
      <c r="D99" s="2">
        <v>71829.113277370008</v>
      </c>
      <c r="E99" s="2">
        <v>1929.3099262590458</v>
      </c>
      <c r="F99" s="2">
        <v>85066.674288381517</v>
      </c>
      <c r="G99" s="2">
        <f t="shared" si="14"/>
        <v>73758.423203629049</v>
      </c>
      <c r="H99" s="6">
        <f t="shared" si="15"/>
        <v>158825.09749201057</v>
      </c>
      <c r="I99" s="9">
        <f>Tabla2[[#This Row],[Desocupados]]/Tabla2[[#This Row],[PEA]]</f>
        <v>2.6157147108916506E-2</v>
      </c>
    </row>
    <row r="100" spans="1:9" x14ac:dyDescent="0.25">
      <c r="A100" s="4">
        <v>2016</v>
      </c>
      <c r="B100" s="3" t="s">
        <v>26</v>
      </c>
      <c r="C100" s="1" t="s">
        <v>5</v>
      </c>
      <c r="D100" s="2">
        <v>48761.492785343893</v>
      </c>
      <c r="E100" s="2">
        <v>693.41761091725539</v>
      </c>
      <c r="F100" s="2">
        <v>75830.948509467344</v>
      </c>
      <c r="G100" s="2">
        <f t="shared" si="14"/>
        <v>49454.910396261148</v>
      </c>
      <c r="H100" s="6">
        <f t="shared" si="15"/>
        <v>125285.8589057285</v>
      </c>
      <c r="I100" s="9">
        <f>Tabla2[[#This Row],[Desocupados]]/Tabla2[[#This Row],[PEA]]</f>
        <v>1.4021208518248141E-2</v>
      </c>
    </row>
    <row r="101" spans="1:9" x14ac:dyDescent="0.25">
      <c r="A101" s="4">
        <v>2016</v>
      </c>
      <c r="B101" s="3" t="s">
        <v>27</v>
      </c>
      <c r="C101" s="1" t="s">
        <v>5</v>
      </c>
      <c r="D101" s="2">
        <v>31213.538754364312</v>
      </c>
      <c r="E101" s="2">
        <v>566.84167609121346</v>
      </c>
      <c r="F101" s="2">
        <v>72175.999539853234</v>
      </c>
      <c r="G101" s="2">
        <f t="shared" si="14"/>
        <v>31780.380430455527</v>
      </c>
      <c r="H101" s="6">
        <f t="shared" si="15"/>
        <v>103956.37997030876</v>
      </c>
      <c r="I101" s="9">
        <f>Tabla2[[#This Row],[Desocupados]]/Tabla2[[#This Row],[PEA]]</f>
        <v>1.7836214306232851E-2</v>
      </c>
    </row>
    <row r="102" spans="1:9" x14ac:dyDescent="0.25">
      <c r="A102" s="4">
        <v>2016</v>
      </c>
      <c r="B102" s="3" t="s">
        <v>28</v>
      </c>
      <c r="C102" s="1" t="s">
        <v>5</v>
      </c>
      <c r="D102" s="2">
        <v>20143.050118829891</v>
      </c>
      <c r="E102" s="2">
        <v>0</v>
      </c>
      <c r="F102" s="2">
        <v>55876.949105187356</v>
      </c>
      <c r="G102" s="2">
        <f t="shared" si="14"/>
        <v>20143.050118829891</v>
      </c>
      <c r="H102" s="6">
        <f t="shared" si="15"/>
        <v>76019.999224017243</v>
      </c>
      <c r="I102" s="9">
        <f>Tabla2[[#This Row],[Desocupados]]/Tabla2[[#This Row],[PEA]]</f>
        <v>0</v>
      </c>
    </row>
    <row r="103" spans="1:9" x14ac:dyDescent="0.25">
      <c r="A103" s="4">
        <v>2016</v>
      </c>
      <c r="B103" s="3" t="s">
        <v>29</v>
      </c>
      <c r="C103" s="1" t="s">
        <v>5</v>
      </c>
      <c r="D103" s="2">
        <v>10657.163254084136</v>
      </c>
      <c r="E103" s="2">
        <v>0</v>
      </c>
      <c r="F103" s="2">
        <v>49125.000898937658</v>
      </c>
      <c r="G103" s="2">
        <f t="shared" si="14"/>
        <v>10657.163254084136</v>
      </c>
      <c r="H103" s="6">
        <f t="shared" si="15"/>
        <v>59782.164153021797</v>
      </c>
      <c r="I103" s="9">
        <f>Tabla2[[#This Row],[Desocupados]]/Tabla2[[#This Row],[PEA]]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A269-02D8-4D56-A9E5-9201F55E9A72}">
  <dimension ref="A3:G53"/>
  <sheetViews>
    <sheetView workbookViewId="0">
      <selection activeCell="C29" sqref="C29"/>
    </sheetView>
  </sheetViews>
  <sheetFormatPr baseColWidth="10" defaultRowHeight="15" x14ac:dyDescent="0.25"/>
  <cols>
    <col min="1" max="1" width="19" bestFit="1" customWidth="1"/>
    <col min="2" max="2" width="17.28515625" bestFit="1" customWidth="1"/>
    <col min="3" max="3" width="17.85546875" bestFit="1" customWidth="1"/>
    <col min="4" max="4" width="20.85546875" bestFit="1" customWidth="1"/>
    <col min="5" max="5" width="17" bestFit="1" customWidth="1"/>
    <col min="6" max="6" width="12.42578125" bestFit="1" customWidth="1"/>
    <col min="7" max="7" width="12.140625" bestFit="1" customWidth="1"/>
    <col min="8" max="8" width="11.28515625" bestFit="1" customWidth="1"/>
    <col min="9" max="81" width="4.5703125" bestFit="1" customWidth="1"/>
    <col min="82" max="82" width="12.5703125" bestFit="1" customWidth="1"/>
    <col min="83" max="83" width="15" bestFit="1" customWidth="1"/>
    <col min="84" max="84" width="10.140625" bestFit="1" customWidth="1"/>
    <col min="85" max="85" width="15" bestFit="1" customWidth="1"/>
    <col min="86" max="86" width="10.140625" bestFit="1" customWidth="1"/>
    <col min="87" max="87" width="15" bestFit="1" customWidth="1"/>
    <col min="88" max="88" width="10.140625" bestFit="1" customWidth="1"/>
    <col min="89" max="89" width="15" bestFit="1" customWidth="1"/>
    <col min="90" max="90" width="10.140625" bestFit="1" customWidth="1"/>
    <col min="91" max="91" width="15" bestFit="1" customWidth="1"/>
    <col min="92" max="92" width="10.140625" bestFit="1" customWidth="1"/>
    <col min="93" max="93" width="15" bestFit="1" customWidth="1"/>
    <col min="94" max="94" width="10.140625" bestFit="1" customWidth="1"/>
    <col min="95" max="95" width="15" bestFit="1" customWidth="1"/>
    <col min="96" max="96" width="10.140625" bestFit="1" customWidth="1"/>
    <col min="97" max="97" width="15" bestFit="1" customWidth="1"/>
    <col min="98" max="98" width="10.140625" bestFit="1" customWidth="1"/>
    <col min="99" max="99" width="15" bestFit="1" customWidth="1"/>
    <col min="100" max="100" width="10.140625" bestFit="1" customWidth="1"/>
    <col min="101" max="101" width="15" bestFit="1" customWidth="1"/>
    <col min="102" max="102" width="10.140625" bestFit="1" customWidth="1"/>
    <col min="103" max="103" width="15" bestFit="1" customWidth="1"/>
    <col min="104" max="104" width="10.140625" bestFit="1" customWidth="1"/>
    <col min="105" max="105" width="15" bestFit="1" customWidth="1"/>
    <col min="106" max="106" width="10.140625" bestFit="1" customWidth="1"/>
    <col min="107" max="107" width="15" bestFit="1" customWidth="1"/>
    <col min="108" max="108" width="10.140625" bestFit="1" customWidth="1"/>
    <col min="109" max="109" width="15" bestFit="1" customWidth="1"/>
    <col min="110" max="110" width="10.140625" bestFit="1" customWidth="1"/>
    <col min="111" max="111" width="15" bestFit="1" customWidth="1"/>
    <col min="112" max="112" width="10.140625" bestFit="1" customWidth="1"/>
    <col min="113" max="113" width="15" bestFit="1" customWidth="1"/>
    <col min="114" max="114" width="10.140625" bestFit="1" customWidth="1"/>
    <col min="115" max="115" width="15" bestFit="1" customWidth="1"/>
    <col min="116" max="116" width="10.140625" bestFit="1" customWidth="1"/>
    <col min="117" max="117" width="15" bestFit="1" customWidth="1"/>
    <col min="118" max="118" width="10.140625" bestFit="1" customWidth="1"/>
    <col min="119" max="119" width="15" bestFit="1" customWidth="1"/>
    <col min="120" max="120" width="10.140625" bestFit="1" customWidth="1"/>
    <col min="121" max="121" width="15" bestFit="1" customWidth="1"/>
    <col min="122" max="122" width="10.140625" bestFit="1" customWidth="1"/>
    <col min="123" max="123" width="15" bestFit="1" customWidth="1"/>
    <col min="124" max="124" width="10.140625" bestFit="1" customWidth="1"/>
    <col min="125" max="125" width="15" bestFit="1" customWidth="1"/>
    <col min="126" max="126" width="10.140625" bestFit="1" customWidth="1"/>
    <col min="127" max="127" width="15" bestFit="1" customWidth="1"/>
    <col min="128" max="128" width="10.140625" bestFit="1" customWidth="1"/>
    <col min="129" max="129" width="15" bestFit="1" customWidth="1"/>
    <col min="130" max="130" width="10.140625" bestFit="1" customWidth="1"/>
    <col min="131" max="131" width="15" bestFit="1" customWidth="1"/>
    <col min="132" max="132" width="10.140625" bestFit="1" customWidth="1"/>
    <col min="133" max="133" width="15" bestFit="1" customWidth="1"/>
    <col min="134" max="134" width="10.140625" bestFit="1" customWidth="1"/>
    <col min="135" max="135" width="15" bestFit="1" customWidth="1"/>
    <col min="136" max="136" width="10.140625" bestFit="1" customWidth="1"/>
    <col min="137" max="137" width="15" bestFit="1" customWidth="1"/>
    <col min="138" max="138" width="10.140625" bestFit="1" customWidth="1"/>
    <col min="139" max="139" width="15" bestFit="1" customWidth="1"/>
    <col min="140" max="140" width="10.140625" bestFit="1" customWidth="1"/>
    <col min="141" max="141" width="15" bestFit="1" customWidth="1"/>
    <col min="142" max="142" width="10.140625" bestFit="1" customWidth="1"/>
    <col min="143" max="143" width="15" bestFit="1" customWidth="1"/>
    <col min="144" max="144" width="10.140625" bestFit="1" customWidth="1"/>
    <col min="145" max="145" width="15" bestFit="1" customWidth="1"/>
    <col min="146" max="146" width="10.140625" bestFit="1" customWidth="1"/>
    <col min="147" max="147" width="15" bestFit="1" customWidth="1"/>
    <col min="148" max="148" width="10.140625" bestFit="1" customWidth="1"/>
    <col min="149" max="149" width="15" bestFit="1" customWidth="1"/>
    <col min="150" max="150" width="10.140625" bestFit="1" customWidth="1"/>
    <col min="151" max="151" width="15" bestFit="1" customWidth="1"/>
    <col min="152" max="152" width="10.140625" bestFit="1" customWidth="1"/>
    <col min="153" max="153" width="15" bestFit="1" customWidth="1"/>
    <col min="154" max="154" width="10.140625" bestFit="1" customWidth="1"/>
    <col min="155" max="155" width="15" bestFit="1" customWidth="1"/>
    <col min="156" max="156" width="10.140625" bestFit="1" customWidth="1"/>
    <col min="157" max="157" width="15" bestFit="1" customWidth="1"/>
    <col min="158" max="158" width="10.140625" bestFit="1" customWidth="1"/>
    <col min="159" max="159" width="15" bestFit="1" customWidth="1"/>
    <col min="160" max="160" width="10.140625" bestFit="1" customWidth="1"/>
    <col min="161" max="161" width="15" bestFit="1" customWidth="1"/>
    <col min="162" max="162" width="10.140625" bestFit="1" customWidth="1"/>
    <col min="163" max="163" width="15" bestFit="1" customWidth="1"/>
    <col min="164" max="164" width="10.140625" bestFit="1" customWidth="1"/>
    <col min="165" max="165" width="15" bestFit="1" customWidth="1"/>
    <col min="166" max="166" width="10.140625" bestFit="1" customWidth="1"/>
    <col min="167" max="167" width="15" bestFit="1" customWidth="1"/>
    <col min="168" max="168" width="10.140625" bestFit="1" customWidth="1"/>
    <col min="169" max="169" width="15" bestFit="1" customWidth="1"/>
    <col min="170" max="170" width="10.140625" bestFit="1" customWidth="1"/>
    <col min="171" max="171" width="15" bestFit="1" customWidth="1"/>
    <col min="172" max="172" width="10.140625" bestFit="1" customWidth="1"/>
    <col min="173" max="173" width="15" bestFit="1" customWidth="1"/>
    <col min="174" max="174" width="10.140625" bestFit="1" customWidth="1"/>
    <col min="175" max="175" width="15" bestFit="1" customWidth="1"/>
    <col min="176" max="176" width="10.140625" bestFit="1" customWidth="1"/>
    <col min="177" max="177" width="15" bestFit="1" customWidth="1"/>
    <col min="178" max="178" width="10.140625" bestFit="1" customWidth="1"/>
    <col min="179" max="179" width="15" bestFit="1" customWidth="1"/>
    <col min="180" max="180" width="10.140625" bestFit="1" customWidth="1"/>
    <col min="181" max="181" width="15" bestFit="1" customWidth="1"/>
    <col min="182" max="182" width="10.140625" bestFit="1" customWidth="1"/>
    <col min="183" max="183" width="15" bestFit="1" customWidth="1"/>
    <col min="184" max="184" width="10.140625" bestFit="1" customWidth="1"/>
    <col min="185" max="185" width="15" bestFit="1" customWidth="1"/>
    <col min="186" max="186" width="10.140625" bestFit="1" customWidth="1"/>
    <col min="187" max="187" width="15" bestFit="1" customWidth="1"/>
    <col min="188" max="188" width="10.140625" bestFit="1" customWidth="1"/>
    <col min="189" max="189" width="15" bestFit="1" customWidth="1"/>
    <col min="190" max="190" width="10.140625" bestFit="1" customWidth="1"/>
    <col min="191" max="191" width="15" bestFit="1" customWidth="1"/>
    <col min="192" max="192" width="10.140625" bestFit="1" customWidth="1"/>
    <col min="193" max="193" width="15" bestFit="1" customWidth="1"/>
    <col min="194" max="194" width="10.140625" bestFit="1" customWidth="1"/>
    <col min="195" max="195" width="15" bestFit="1" customWidth="1"/>
    <col min="196" max="196" width="10.140625" bestFit="1" customWidth="1"/>
    <col min="197" max="197" width="15" bestFit="1" customWidth="1"/>
    <col min="198" max="198" width="10.140625" bestFit="1" customWidth="1"/>
    <col min="199" max="199" width="15" bestFit="1" customWidth="1"/>
    <col min="200" max="200" width="10.140625" bestFit="1" customWidth="1"/>
    <col min="201" max="201" width="15" bestFit="1" customWidth="1"/>
    <col min="202" max="202" width="12.5703125" bestFit="1" customWidth="1"/>
    <col min="203" max="203" width="10.140625" bestFit="1" customWidth="1"/>
    <col min="204" max="205" width="15" bestFit="1" customWidth="1"/>
    <col min="206" max="206" width="10.140625" bestFit="1" customWidth="1"/>
    <col min="207" max="208" width="15" bestFit="1" customWidth="1"/>
    <col min="209" max="209" width="10.140625" bestFit="1" customWidth="1"/>
    <col min="210" max="211" width="15" bestFit="1" customWidth="1"/>
    <col min="212" max="212" width="10.140625" bestFit="1" customWidth="1"/>
    <col min="213" max="214" width="15" bestFit="1" customWidth="1"/>
    <col min="215" max="215" width="10.140625" bestFit="1" customWidth="1"/>
    <col min="216" max="217" width="15" bestFit="1" customWidth="1"/>
    <col min="218" max="218" width="10.140625" bestFit="1" customWidth="1"/>
    <col min="219" max="220" width="15" bestFit="1" customWidth="1"/>
    <col min="221" max="221" width="10.140625" bestFit="1" customWidth="1"/>
    <col min="222" max="223" width="15" bestFit="1" customWidth="1"/>
    <col min="224" max="224" width="10.140625" bestFit="1" customWidth="1"/>
    <col min="225" max="226" width="15" bestFit="1" customWidth="1"/>
    <col min="227" max="227" width="10.140625" bestFit="1" customWidth="1"/>
    <col min="228" max="229" width="15" bestFit="1" customWidth="1"/>
    <col min="230" max="230" width="10.140625" bestFit="1" customWidth="1"/>
    <col min="231" max="232" width="15" bestFit="1" customWidth="1"/>
    <col min="233" max="233" width="10.140625" bestFit="1" customWidth="1"/>
    <col min="234" max="235" width="15" bestFit="1" customWidth="1"/>
    <col min="236" max="236" width="10.140625" bestFit="1" customWidth="1"/>
    <col min="237" max="238" width="15" bestFit="1" customWidth="1"/>
    <col min="239" max="239" width="10.140625" bestFit="1" customWidth="1"/>
    <col min="240" max="241" width="15" bestFit="1" customWidth="1"/>
    <col min="242" max="242" width="10.140625" bestFit="1" customWidth="1"/>
    <col min="243" max="244" width="15" bestFit="1" customWidth="1"/>
    <col min="245" max="245" width="10.140625" bestFit="1" customWidth="1"/>
    <col min="246" max="247" width="15" bestFit="1" customWidth="1"/>
    <col min="248" max="248" width="10.140625" bestFit="1" customWidth="1"/>
    <col min="249" max="250" width="15" bestFit="1" customWidth="1"/>
    <col min="251" max="251" width="10.140625" bestFit="1" customWidth="1"/>
    <col min="252" max="253" width="15" bestFit="1" customWidth="1"/>
    <col min="254" max="254" width="10.140625" bestFit="1" customWidth="1"/>
    <col min="255" max="256" width="15" bestFit="1" customWidth="1"/>
    <col min="257" max="257" width="10.140625" bestFit="1" customWidth="1"/>
    <col min="258" max="259" width="15" bestFit="1" customWidth="1"/>
    <col min="260" max="260" width="10.140625" bestFit="1" customWidth="1"/>
    <col min="261" max="262" width="15" bestFit="1" customWidth="1"/>
    <col min="263" max="263" width="10.140625" bestFit="1" customWidth="1"/>
    <col min="264" max="265" width="15" bestFit="1" customWidth="1"/>
    <col min="266" max="266" width="10.140625" bestFit="1" customWidth="1"/>
    <col min="267" max="268" width="15" bestFit="1" customWidth="1"/>
    <col min="269" max="269" width="10.140625" bestFit="1" customWidth="1"/>
    <col min="270" max="271" width="15" bestFit="1" customWidth="1"/>
    <col min="272" max="272" width="10.140625" bestFit="1" customWidth="1"/>
    <col min="273" max="274" width="15" bestFit="1" customWidth="1"/>
    <col min="275" max="275" width="10.140625" bestFit="1" customWidth="1"/>
    <col min="276" max="277" width="15" bestFit="1" customWidth="1"/>
    <col min="278" max="278" width="10.140625" bestFit="1" customWidth="1"/>
    <col min="279" max="280" width="15" bestFit="1" customWidth="1"/>
    <col min="281" max="281" width="10.140625" bestFit="1" customWidth="1"/>
    <col min="282" max="283" width="15" bestFit="1" customWidth="1"/>
    <col min="284" max="284" width="10.140625" bestFit="1" customWidth="1"/>
    <col min="285" max="286" width="15" bestFit="1" customWidth="1"/>
    <col min="287" max="287" width="10.140625" bestFit="1" customWidth="1"/>
    <col min="288" max="289" width="15" bestFit="1" customWidth="1"/>
    <col min="290" max="290" width="10.140625" bestFit="1" customWidth="1"/>
    <col min="291" max="292" width="15" bestFit="1" customWidth="1"/>
    <col min="293" max="293" width="10.140625" bestFit="1" customWidth="1"/>
    <col min="294" max="295" width="15" bestFit="1" customWidth="1"/>
    <col min="296" max="296" width="10.140625" bestFit="1" customWidth="1"/>
    <col min="297" max="298" width="15" bestFit="1" customWidth="1"/>
    <col min="299" max="299" width="10.140625" bestFit="1" customWidth="1"/>
    <col min="300" max="301" width="15" bestFit="1" customWidth="1"/>
    <col min="302" max="302" width="12.5703125" bestFit="1" customWidth="1"/>
    <col min="303" max="303" width="15" bestFit="1" customWidth="1"/>
    <col min="304" max="305" width="14" bestFit="1" customWidth="1"/>
    <col min="306" max="306" width="10.140625" bestFit="1" customWidth="1"/>
    <col min="307" max="308" width="15" bestFit="1" customWidth="1"/>
    <col min="309" max="309" width="14" bestFit="1" customWidth="1"/>
    <col min="310" max="310" width="10.140625" bestFit="1" customWidth="1"/>
    <col min="311" max="311" width="15" bestFit="1" customWidth="1"/>
    <col min="312" max="313" width="14" bestFit="1" customWidth="1"/>
    <col min="314" max="314" width="10.140625" bestFit="1" customWidth="1"/>
    <col min="315" max="316" width="15" bestFit="1" customWidth="1"/>
    <col min="317" max="317" width="14" bestFit="1" customWidth="1"/>
    <col min="318" max="318" width="10.140625" bestFit="1" customWidth="1"/>
    <col min="319" max="320" width="15" bestFit="1" customWidth="1"/>
    <col min="321" max="321" width="14" bestFit="1" customWidth="1"/>
    <col min="322" max="322" width="10.140625" bestFit="1" customWidth="1"/>
    <col min="323" max="324" width="15" bestFit="1" customWidth="1"/>
    <col min="325" max="325" width="14" bestFit="1" customWidth="1"/>
    <col min="326" max="326" width="10.140625" bestFit="1" customWidth="1"/>
    <col min="327" max="328" width="15" bestFit="1" customWidth="1"/>
    <col min="329" max="329" width="14" bestFit="1" customWidth="1"/>
    <col min="330" max="330" width="10.140625" bestFit="1" customWidth="1"/>
    <col min="331" max="331" width="15" bestFit="1" customWidth="1"/>
    <col min="332" max="333" width="14" bestFit="1" customWidth="1"/>
    <col min="334" max="334" width="10.140625" bestFit="1" customWidth="1"/>
    <col min="335" max="336" width="15" bestFit="1" customWidth="1"/>
    <col min="337" max="337" width="14" bestFit="1" customWidth="1"/>
    <col min="338" max="338" width="10.140625" bestFit="1" customWidth="1"/>
    <col min="339" max="339" width="15" bestFit="1" customWidth="1"/>
    <col min="340" max="341" width="14" bestFit="1" customWidth="1"/>
    <col min="342" max="342" width="10.140625" bestFit="1" customWidth="1"/>
    <col min="343" max="344" width="15" bestFit="1" customWidth="1"/>
    <col min="345" max="345" width="14" bestFit="1" customWidth="1"/>
    <col min="346" max="346" width="10.140625" bestFit="1" customWidth="1"/>
    <col min="347" max="348" width="15" bestFit="1" customWidth="1"/>
    <col min="349" max="349" width="14" bestFit="1" customWidth="1"/>
    <col min="350" max="350" width="10.140625" bestFit="1" customWidth="1"/>
    <col min="351" max="353" width="15" bestFit="1" customWidth="1"/>
    <col min="354" max="354" width="10.140625" bestFit="1" customWidth="1"/>
    <col min="355" max="355" width="15" bestFit="1" customWidth="1"/>
    <col min="356" max="356" width="14" bestFit="1" customWidth="1"/>
    <col min="357" max="357" width="15" bestFit="1" customWidth="1"/>
    <col min="358" max="358" width="10.140625" bestFit="1" customWidth="1"/>
    <col min="359" max="361" width="15" bestFit="1" customWidth="1"/>
    <col min="362" max="362" width="10.140625" bestFit="1" customWidth="1"/>
    <col min="363" max="365" width="15" bestFit="1" customWidth="1"/>
    <col min="366" max="366" width="10.140625" bestFit="1" customWidth="1"/>
    <col min="367" max="369" width="15" bestFit="1" customWidth="1"/>
    <col min="370" max="370" width="10.140625" bestFit="1" customWidth="1"/>
    <col min="371" max="373" width="15" bestFit="1" customWidth="1"/>
    <col min="374" max="374" width="10.140625" bestFit="1" customWidth="1"/>
    <col min="375" max="377" width="15" bestFit="1" customWidth="1"/>
    <col min="378" max="378" width="10.140625" bestFit="1" customWidth="1"/>
    <col min="379" max="381" width="15" bestFit="1" customWidth="1"/>
    <col min="382" max="382" width="10.140625" bestFit="1" customWidth="1"/>
    <col min="383" max="385" width="15" bestFit="1" customWidth="1"/>
    <col min="386" max="386" width="10.140625" bestFit="1" customWidth="1"/>
    <col min="387" max="389" width="15" bestFit="1" customWidth="1"/>
    <col min="390" max="390" width="10.140625" bestFit="1" customWidth="1"/>
    <col min="391" max="393" width="15" bestFit="1" customWidth="1"/>
    <col min="394" max="394" width="10.140625" bestFit="1" customWidth="1"/>
    <col min="395" max="397" width="15" bestFit="1" customWidth="1"/>
    <col min="398" max="398" width="10.140625" bestFit="1" customWidth="1"/>
    <col min="399" max="401" width="15" bestFit="1" customWidth="1"/>
    <col min="402" max="402" width="12.5703125" bestFit="1" customWidth="1"/>
    <col min="403" max="404" width="15" bestFit="1" customWidth="1"/>
    <col min="405" max="405" width="13" bestFit="1" customWidth="1"/>
    <col min="406" max="406" width="10.140625" bestFit="1" customWidth="1"/>
    <col min="407" max="408" width="15" bestFit="1" customWidth="1"/>
    <col min="409" max="409" width="14" bestFit="1" customWidth="1"/>
    <col min="410" max="410" width="13" bestFit="1" customWidth="1"/>
    <col min="411" max="411" width="10.140625" bestFit="1" customWidth="1"/>
    <col min="412" max="413" width="15" bestFit="1" customWidth="1"/>
    <col min="414" max="414" width="14" bestFit="1" customWidth="1"/>
    <col min="415" max="415" width="13" bestFit="1" customWidth="1"/>
    <col min="416" max="416" width="10.140625" bestFit="1" customWidth="1"/>
    <col min="417" max="419" width="15" bestFit="1" customWidth="1"/>
    <col min="420" max="420" width="13" bestFit="1" customWidth="1"/>
    <col min="421" max="421" width="10.140625" bestFit="1" customWidth="1"/>
    <col min="422" max="423" width="15" bestFit="1" customWidth="1"/>
    <col min="424" max="424" width="14" bestFit="1" customWidth="1"/>
    <col min="425" max="425" width="13" bestFit="1" customWidth="1"/>
    <col min="426" max="426" width="10.140625" bestFit="1" customWidth="1"/>
    <col min="427" max="428" width="15" bestFit="1" customWidth="1"/>
    <col min="429" max="430" width="13" bestFit="1" customWidth="1"/>
    <col min="431" max="431" width="10.140625" bestFit="1" customWidth="1"/>
    <col min="432" max="434" width="15" bestFit="1" customWidth="1"/>
    <col min="435" max="435" width="13" bestFit="1" customWidth="1"/>
    <col min="436" max="436" width="10.140625" bestFit="1" customWidth="1"/>
    <col min="437" max="438" width="15" bestFit="1" customWidth="1"/>
    <col min="439" max="439" width="14" bestFit="1" customWidth="1"/>
    <col min="440" max="440" width="13" bestFit="1" customWidth="1"/>
    <col min="441" max="441" width="10.140625" bestFit="1" customWidth="1"/>
    <col min="442" max="443" width="15" bestFit="1" customWidth="1"/>
    <col min="444" max="444" width="14" bestFit="1" customWidth="1"/>
    <col min="445" max="445" width="13" bestFit="1" customWidth="1"/>
    <col min="446" max="446" width="10.140625" bestFit="1" customWidth="1"/>
    <col min="447" max="448" width="15" bestFit="1" customWidth="1"/>
    <col min="449" max="449" width="14" bestFit="1" customWidth="1"/>
    <col min="450" max="450" width="13" bestFit="1" customWidth="1"/>
    <col min="451" max="451" width="10.140625" bestFit="1" customWidth="1"/>
    <col min="452" max="454" width="15" bestFit="1" customWidth="1"/>
    <col min="455" max="455" width="14" bestFit="1" customWidth="1"/>
    <col min="456" max="456" width="10.140625" bestFit="1" customWidth="1"/>
    <col min="457" max="458" width="15" bestFit="1" customWidth="1"/>
    <col min="459" max="460" width="14" bestFit="1" customWidth="1"/>
    <col min="461" max="461" width="10.140625" bestFit="1" customWidth="1"/>
    <col min="462" max="464" width="15" bestFit="1" customWidth="1"/>
    <col min="465" max="465" width="14" bestFit="1" customWidth="1"/>
    <col min="466" max="466" width="10.140625" bestFit="1" customWidth="1"/>
    <col min="467" max="469" width="15" bestFit="1" customWidth="1"/>
    <col min="470" max="470" width="14" bestFit="1" customWidth="1"/>
    <col min="471" max="471" width="10.140625" bestFit="1" customWidth="1"/>
    <col min="472" max="474" width="15" bestFit="1" customWidth="1"/>
    <col min="475" max="475" width="14" bestFit="1" customWidth="1"/>
    <col min="476" max="476" width="10.140625" bestFit="1" customWidth="1"/>
    <col min="477" max="479" width="15" bestFit="1" customWidth="1"/>
    <col min="480" max="480" width="14" bestFit="1" customWidth="1"/>
    <col min="481" max="481" width="12.5703125" bestFit="1" customWidth="1"/>
    <col min="482" max="482" width="10.140625" bestFit="1" customWidth="1"/>
    <col min="483" max="485" width="15" bestFit="1" customWidth="1"/>
    <col min="486" max="486" width="14" bestFit="1" customWidth="1"/>
    <col min="487" max="487" width="15" bestFit="1" customWidth="1"/>
    <col min="488" max="488" width="10.140625" bestFit="1" customWidth="1"/>
    <col min="489" max="490" width="15" bestFit="1" customWidth="1"/>
    <col min="491" max="492" width="13" bestFit="1" customWidth="1"/>
    <col min="493" max="493" width="15" bestFit="1" customWidth="1"/>
    <col min="494" max="494" width="10.140625" bestFit="1" customWidth="1"/>
    <col min="495" max="497" width="15" bestFit="1" customWidth="1"/>
    <col min="498" max="498" width="14" bestFit="1" customWidth="1"/>
    <col min="499" max="499" width="15" bestFit="1" customWidth="1"/>
    <col min="500" max="500" width="10.140625" bestFit="1" customWidth="1"/>
    <col min="501" max="502" width="15" bestFit="1" customWidth="1"/>
    <col min="503" max="504" width="13" bestFit="1" customWidth="1"/>
    <col min="505" max="505" width="15" bestFit="1" customWidth="1"/>
    <col min="506" max="506" width="10.140625" bestFit="1" customWidth="1"/>
    <col min="507" max="509" width="15" bestFit="1" customWidth="1"/>
    <col min="510" max="510" width="14" bestFit="1" customWidth="1"/>
    <col min="511" max="511" width="15" bestFit="1" customWidth="1"/>
    <col min="512" max="512" width="10.140625" bestFit="1" customWidth="1"/>
    <col min="513" max="515" width="15" bestFit="1" customWidth="1"/>
    <col min="516" max="516" width="14" bestFit="1" customWidth="1"/>
    <col min="517" max="517" width="15" bestFit="1" customWidth="1"/>
    <col min="518" max="518" width="10.140625" bestFit="1" customWidth="1"/>
    <col min="519" max="521" width="15" bestFit="1" customWidth="1"/>
    <col min="522" max="522" width="13" bestFit="1" customWidth="1"/>
    <col min="523" max="523" width="15" bestFit="1" customWidth="1"/>
    <col min="524" max="524" width="10.140625" bestFit="1" customWidth="1"/>
    <col min="525" max="526" width="15" bestFit="1" customWidth="1"/>
    <col min="527" max="528" width="13" bestFit="1" customWidth="1"/>
    <col min="529" max="529" width="15" bestFit="1" customWidth="1"/>
    <col min="530" max="530" width="10.140625" bestFit="1" customWidth="1"/>
    <col min="531" max="532" width="15" bestFit="1" customWidth="1"/>
    <col min="533" max="533" width="14" bestFit="1" customWidth="1"/>
    <col min="534" max="534" width="13" bestFit="1" customWidth="1"/>
    <col min="535" max="535" width="15" bestFit="1" customWidth="1"/>
    <col min="536" max="536" width="10.140625" bestFit="1" customWidth="1"/>
    <col min="537" max="538" width="15" bestFit="1" customWidth="1"/>
    <col min="539" max="540" width="13" bestFit="1" customWidth="1"/>
    <col min="541" max="541" width="15" bestFit="1" customWidth="1"/>
    <col min="542" max="542" width="10.140625" bestFit="1" customWidth="1"/>
    <col min="543" max="544" width="15" bestFit="1" customWidth="1"/>
    <col min="545" max="545" width="14" bestFit="1" customWidth="1"/>
    <col min="546" max="546" width="13" bestFit="1" customWidth="1"/>
    <col min="547" max="547" width="15" bestFit="1" customWidth="1"/>
    <col min="548" max="548" width="10.140625" bestFit="1" customWidth="1"/>
    <col min="549" max="550" width="15" bestFit="1" customWidth="1"/>
    <col min="551" max="552" width="13" bestFit="1" customWidth="1"/>
    <col min="553" max="553" width="15" bestFit="1" customWidth="1"/>
    <col min="554" max="554" width="10.140625" bestFit="1" customWidth="1"/>
    <col min="555" max="556" width="15" bestFit="1" customWidth="1"/>
    <col min="557" max="558" width="13" bestFit="1" customWidth="1"/>
    <col min="559" max="559" width="15" bestFit="1" customWidth="1"/>
    <col min="560" max="560" width="10.140625" bestFit="1" customWidth="1"/>
    <col min="561" max="562" width="15" bestFit="1" customWidth="1"/>
    <col min="563" max="564" width="13" bestFit="1" customWidth="1"/>
    <col min="565" max="565" width="15" bestFit="1" customWidth="1"/>
    <col min="566" max="566" width="10.140625" bestFit="1" customWidth="1"/>
    <col min="567" max="568" width="15" bestFit="1" customWidth="1"/>
    <col min="569" max="569" width="14" bestFit="1" customWidth="1"/>
    <col min="570" max="570" width="13" bestFit="1" customWidth="1"/>
    <col min="571" max="571" width="15" bestFit="1" customWidth="1"/>
    <col min="572" max="572" width="10.140625" bestFit="1" customWidth="1"/>
    <col min="573" max="574" width="15" bestFit="1" customWidth="1"/>
    <col min="575" max="576" width="13" bestFit="1" customWidth="1"/>
    <col min="577" max="577" width="15" bestFit="1" customWidth="1"/>
    <col min="578" max="578" width="10.140625" bestFit="1" customWidth="1"/>
    <col min="579" max="580" width="15" bestFit="1" customWidth="1"/>
    <col min="581" max="581" width="14" bestFit="1" customWidth="1"/>
    <col min="582" max="582" width="13" bestFit="1" customWidth="1"/>
    <col min="583" max="583" width="15" bestFit="1" customWidth="1"/>
    <col min="584" max="584" width="10.140625" bestFit="1" customWidth="1"/>
    <col min="585" max="586" width="15" bestFit="1" customWidth="1"/>
    <col min="587" max="587" width="14" bestFit="1" customWidth="1"/>
    <col min="588" max="588" width="13" bestFit="1" customWidth="1"/>
    <col min="589" max="589" width="15" bestFit="1" customWidth="1"/>
    <col min="590" max="590" width="10.140625" bestFit="1" customWidth="1"/>
    <col min="591" max="592" width="15" bestFit="1" customWidth="1"/>
    <col min="593" max="593" width="14" bestFit="1" customWidth="1"/>
    <col min="594" max="594" width="13" bestFit="1" customWidth="1"/>
    <col min="595" max="595" width="15" bestFit="1" customWidth="1"/>
    <col min="596" max="596" width="10.140625" bestFit="1" customWidth="1"/>
    <col min="597" max="598" width="15" bestFit="1" customWidth="1"/>
    <col min="599" max="599" width="14" bestFit="1" customWidth="1"/>
    <col min="600" max="600" width="13" bestFit="1" customWidth="1"/>
    <col min="601" max="601" width="15" bestFit="1" customWidth="1"/>
    <col min="602" max="602" width="12.5703125" bestFit="1" customWidth="1"/>
  </cols>
  <sheetData>
    <row r="3" spans="1:7" x14ac:dyDescent="0.25">
      <c r="A3" s="11" t="s">
        <v>7</v>
      </c>
      <c r="B3" s="11" t="s">
        <v>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5">
      <c r="A4">
        <v>2012</v>
      </c>
      <c r="B4" t="s">
        <v>20</v>
      </c>
      <c r="C4" s="6">
        <v>345285.59075173119</v>
      </c>
      <c r="D4" s="6">
        <v>12108.026783535279</v>
      </c>
      <c r="E4" s="6">
        <v>149234.71280954999</v>
      </c>
      <c r="F4" s="6">
        <v>357393.61753526644</v>
      </c>
      <c r="G4" s="6">
        <v>506628.33034481644</v>
      </c>
    </row>
    <row r="5" spans="1:7" x14ac:dyDescent="0.25">
      <c r="A5">
        <v>2012</v>
      </c>
      <c r="B5" t="s">
        <v>21</v>
      </c>
      <c r="C5" s="6">
        <v>308857.92079804977</v>
      </c>
      <c r="D5" s="6">
        <v>8582.2811204480004</v>
      </c>
      <c r="E5" s="6">
        <v>131684.18529773294</v>
      </c>
      <c r="F5" s="6">
        <v>317440.2019184978</v>
      </c>
      <c r="G5" s="6">
        <v>449124.38721623074</v>
      </c>
    </row>
    <row r="6" spans="1:7" x14ac:dyDescent="0.25">
      <c r="A6">
        <v>2012</v>
      </c>
      <c r="B6" t="s">
        <v>22</v>
      </c>
      <c r="C6" s="6">
        <v>278466.71023963706</v>
      </c>
      <c r="D6" s="6">
        <v>6354.4514226930278</v>
      </c>
      <c r="E6" s="6">
        <v>113946.34476258414</v>
      </c>
      <c r="F6" s="6">
        <v>284821.16166233015</v>
      </c>
      <c r="G6" s="6">
        <v>398767.50642491423</v>
      </c>
    </row>
    <row r="7" spans="1:7" x14ac:dyDescent="0.25">
      <c r="A7">
        <v>2012</v>
      </c>
      <c r="B7" t="s">
        <v>23</v>
      </c>
      <c r="C7" s="6">
        <v>231232.80203618435</v>
      </c>
      <c r="D7" s="6">
        <v>3403.5658889462825</v>
      </c>
      <c r="E7" s="6">
        <v>98611.357247857566</v>
      </c>
      <c r="F7" s="6">
        <v>234636.36792513065</v>
      </c>
      <c r="G7" s="6">
        <v>333247.7251729882</v>
      </c>
    </row>
    <row r="8" spans="1:7" x14ac:dyDescent="0.25">
      <c r="A8">
        <v>2012</v>
      </c>
      <c r="B8" t="s">
        <v>24</v>
      </c>
      <c r="C8" s="6">
        <v>230915.03863725171</v>
      </c>
      <c r="D8" s="6">
        <v>3247.1586865109348</v>
      </c>
      <c r="E8" s="6">
        <v>112664.68927384932</v>
      </c>
      <c r="F8" s="6">
        <v>234162.19732376264</v>
      </c>
      <c r="G8" s="6">
        <v>346826.88659761194</v>
      </c>
    </row>
    <row r="9" spans="1:7" x14ac:dyDescent="0.25">
      <c r="A9">
        <v>2012</v>
      </c>
      <c r="B9" t="s">
        <v>25</v>
      </c>
      <c r="C9" s="6">
        <v>170619.02204180509</v>
      </c>
      <c r="D9" s="6">
        <v>2602.7078141810202</v>
      </c>
      <c r="E9" s="6">
        <v>87346.177761982137</v>
      </c>
      <c r="F9" s="6">
        <v>173221.72985598611</v>
      </c>
      <c r="G9" s="6">
        <v>260567.90761796825</v>
      </c>
    </row>
    <row r="10" spans="1:7" x14ac:dyDescent="0.25">
      <c r="A10">
        <v>2012</v>
      </c>
      <c r="B10" t="s">
        <v>26</v>
      </c>
      <c r="C10" s="6">
        <v>127163.9698382177</v>
      </c>
      <c r="D10" s="6">
        <v>1213.954806610315</v>
      </c>
      <c r="E10" s="6">
        <v>91499.628504398948</v>
      </c>
      <c r="F10" s="6">
        <v>128377.92464482802</v>
      </c>
      <c r="G10" s="6">
        <v>219877.55314922697</v>
      </c>
    </row>
    <row r="11" spans="1:7" x14ac:dyDescent="0.25">
      <c r="A11">
        <v>2012</v>
      </c>
      <c r="B11" t="s">
        <v>27</v>
      </c>
      <c r="C11" s="6">
        <v>84491.372591171763</v>
      </c>
      <c r="D11" s="6">
        <v>520.26080679270251</v>
      </c>
      <c r="E11" s="6">
        <v>96440.057685180276</v>
      </c>
      <c r="F11" s="6">
        <v>85011.633397964455</v>
      </c>
      <c r="G11" s="6">
        <v>181451.69108314475</v>
      </c>
    </row>
    <row r="12" spans="1:7" x14ac:dyDescent="0.25">
      <c r="A12">
        <v>2012</v>
      </c>
      <c r="B12" t="s">
        <v>28</v>
      </c>
      <c r="C12" s="6">
        <v>55629.810770202042</v>
      </c>
      <c r="D12" s="6">
        <v>172.04431494494997</v>
      </c>
      <c r="E12" s="6">
        <v>80451.24763718716</v>
      </c>
      <c r="F12" s="6">
        <v>55801.855085146992</v>
      </c>
      <c r="G12" s="6">
        <v>136253.10272233415</v>
      </c>
    </row>
    <row r="13" spans="1:7" x14ac:dyDescent="0.25">
      <c r="A13">
        <v>2012</v>
      </c>
      <c r="B13" t="s">
        <v>29</v>
      </c>
      <c r="C13" s="6">
        <v>39302.287615465939</v>
      </c>
      <c r="D13" s="6">
        <v>0</v>
      </c>
      <c r="E13" s="6">
        <v>77205.751504905245</v>
      </c>
      <c r="F13" s="6">
        <v>39302.287615465939</v>
      </c>
      <c r="G13" s="6">
        <v>116508.03912037119</v>
      </c>
    </row>
    <row r="14" spans="1:7" x14ac:dyDescent="0.25">
      <c r="A14">
        <v>2013</v>
      </c>
      <c r="B14" t="s">
        <v>20</v>
      </c>
      <c r="C14" s="6">
        <v>353664.99980572972</v>
      </c>
      <c r="D14" s="6">
        <v>17232.981051436334</v>
      </c>
      <c r="E14" s="6">
        <v>150517.52537133219</v>
      </c>
      <c r="F14" s="6">
        <v>370897.980857166</v>
      </c>
      <c r="G14" s="6">
        <v>521415.50622849818</v>
      </c>
    </row>
    <row r="15" spans="1:7" x14ac:dyDescent="0.25">
      <c r="A15">
        <v>2013</v>
      </c>
      <c r="B15" t="s">
        <v>21</v>
      </c>
      <c r="C15" s="6">
        <v>325405.56364268879</v>
      </c>
      <c r="D15" s="6">
        <v>12105.932415780062</v>
      </c>
      <c r="E15" s="6">
        <v>125329.94423243451</v>
      </c>
      <c r="F15" s="6">
        <v>337511.49605846882</v>
      </c>
      <c r="G15" s="6">
        <v>462841.44029090332</v>
      </c>
    </row>
    <row r="16" spans="1:7" x14ac:dyDescent="0.25">
      <c r="A16">
        <v>2013</v>
      </c>
      <c r="B16" t="s">
        <v>22</v>
      </c>
      <c r="C16" s="6">
        <v>314418.11993854865</v>
      </c>
      <c r="D16" s="6">
        <v>5095.3397650205798</v>
      </c>
      <c r="E16" s="6">
        <v>95949.340126692245</v>
      </c>
      <c r="F16" s="6">
        <v>319513.45970356924</v>
      </c>
      <c r="G16" s="6">
        <v>415462.7998302615</v>
      </c>
    </row>
    <row r="17" spans="1:7" x14ac:dyDescent="0.25">
      <c r="A17">
        <v>2013</v>
      </c>
      <c r="B17" t="s">
        <v>23</v>
      </c>
      <c r="C17" s="6">
        <v>257188.78326554407</v>
      </c>
      <c r="D17" s="6">
        <v>4424.0458985047999</v>
      </c>
      <c r="E17" s="6">
        <v>98199.325737836305</v>
      </c>
      <c r="F17" s="6">
        <v>261612.82916404886</v>
      </c>
      <c r="G17" s="6">
        <v>359812.15490188519</v>
      </c>
    </row>
    <row r="18" spans="1:7" x14ac:dyDescent="0.25">
      <c r="A18">
        <v>2013</v>
      </c>
      <c r="B18" t="s">
        <v>24</v>
      </c>
      <c r="C18" s="6">
        <v>258031.48272426473</v>
      </c>
      <c r="D18" s="6">
        <v>6483.7162205795012</v>
      </c>
      <c r="E18" s="6">
        <v>97276.21163935645</v>
      </c>
      <c r="F18" s="6">
        <v>264515.19894484425</v>
      </c>
      <c r="G18" s="6">
        <v>361791.4105842007</v>
      </c>
    </row>
    <row r="19" spans="1:7" x14ac:dyDescent="0.25">
      <c r="A19">
        <v>2013</v>
      </c>
      <c r="B19" t="s">
        <v>25</v>
      </c>
      <c r="C19" s="6">
        <v>186858.891503839</v>
      </c>
      <c r="D19" s="6">
        <v>2473.9479456143399</v>
      </c>
      <c r="E19" s="6">
        <v>87981.194897005407</v>
      </c>
      <c r="F19" s="6">
        <v>189332.83944945334</v>
      </c>
      <c r="G19" s="6">
        <v>277314.03434645873</v>
      </c>
    </row>
    <row r="20" spans="1:7" x14ac:dyDescent="0.25">
      <c r="A20">
        <v>2013</v>
      </c>
      <c r="B20" t="s">
        <v>26</v>
      </c>
      <c r="C20" s="6">
        <v>146040.45006866788</v>
      </c>
      <c r="D20" s="6">
        <v>790.0806337171</v>
      </c>
      <c r="E20" s="6">
        <v>98198.023303870912</v>
      </c>
      <c r="F20" s="6">
        <v>146830.530702385</v>
      </c>
      <c r="G20" s="6">
        <v>245028.5540062559</v>
      </c>
    </row>
    <row r="21" spans="1:7" x14ac:dyDescent="0.25">
      <c r="A21">
        <v>2013</v>
      </c>
      <c r="B21" t="s">
        <v>27</v>
      </c>
      <c r="C21" s="6">
        <v>93176.113239077502</v>
      </c>
      <c r="D21" s="6">
        <v>538.71001407005997</v>
      </c>
      <c r="E21" s="6">
        <v>81991.081900900375</v>
      </c>
      <c r="F21" s="6">
        <v>93714.823253147566</v>
      </c>
      <c r="G21" s="6">
        <v>175705.90515404794</v>
      </c>
    </row>
    <row r="22" spans="1:7" x14ac:dyDescent="0.25">
      <c r="A22">
        <v>2013</v>
      </c>
      <c r="B22" t="s">
        <v>28</v>
      </c>
      <c r="C22" s="6">
        <v>65989.773988329427</v>
      </c>
      <c r="D22" s="6">
        <v>470.97274438299996</v>
      </c>
      <c r="E22" s="6">
        <v>76520.157386114573</v>
      </c>
      <c r="F22" s="6">
        <v>66460.746732712432</v>
      </c>
      <c r="G22" s="6">
        <v>142980.90411882702</v>
      </c>
    </row>
    <row r="23" spans="1:7" x14ac:dyDescent="0.25">
      <c r="A23">
        <v>2013</v>
      </c>
      <c r="B23" t="s">
        <v>29</v>
      </c>
      <c r="C23" s="6">
        <v>40087.015220345515</v>
      </c>
      <c r="D23" s="6">
        <v>0</v>
      </c>
      <c r="E23" s="6">
        <v>72738.057746936276</v>
      </c>
      <c r="F23" s="6">
        <v>40087.015220345515</v>
      </c>
      <c r="G23" s="6">
        <v>112825.07296728178</v>
      </c>
    </row>
    <row r="24" spans="1:7" x14ac:dyDescent="0.25">
      <c r="A24">
        <v>2014</v>
      </c>
      <c r="B24" t="s">
        <v>20</v>
      </c>
      <c r="C24" s="6">
        <v>404959.42417247815</v>
      </c>
      <c r="D24" s="6">
        <v>25515.207594669999</v>
      </c>
      <c r="E24" s="6">
        <v>125676.4347608571</v>
      </c>
      <c r="F24" s="6">
        <v>430474.63176714815</v>
      </c>
      <c r="G24" s="6">
        <v>556151.06652800529</v>
      </c>
    </row>
    <row r="25" spans="1:7" x14ac:dyDescent="0.25">
      <c r="A25">
        <v>2014</v>
      </c>
      <c r="B25" t="s">
        <v>21</v>
      </c>
      <c r="C25" s="6">
        <v>364404.64231806947</v>
      </c>
      <c r="D25" s="6">
        <v>15693.159150698</v>
      </c>
      <c r="E25" s="6">
        <v>122401.78054980811</v>
      </c>
      <c r="F25" s="6">
        <v>380097.80146876746</v>
      </c>
      <c r="G25" s="6">
        <v>502499.58201857563</v>
      </c>
    </row>
    <row r="26" spans="1:7" x14ac:dyDescent="0.25">
      <c r="A26">
        <v>2014</v>
      </c>
      <c r="B26" t="s">
        <v>22</v>
      </c>
      <c r="C26" s="6">
        <v>319164.43603270804</v>
      </c>
      <c r="D26" s="6">
        <v>12247.130433078</v>
      </c>
      <c r="E26" s="6">
        <v>94276.425754092939</v>
      </c>
      <c r="F26" s="6">
        <v>331411.56646578602</v>
      </c>
      <c r="G26" s="6">
        <v>425687.99221987894</v>
      </c>
    </row>
    <row r="27" spans="1:7" x14ac:dyDescent="0.25">
      <c r="A27">
        <v>2014</v>
      </c>
      <c r="B27" t="s">
        <v>23</v>
      </c>
      <c r="C27" s="6">
        <v>250765.6514965306</v>
      </c>
      <c r="D27" s="6">
        <v>8345.710470977001</v>
      </c>
      <c r="E27" s="6">
        <v>89723.652629915843</v>
      </c>
      <c r="F27" s="6">
        <v>259111.3619675076</v>
      </c>
      <c r="G27" s="6">
        <v>348835.01459742343</v>
      </c>
    </row>
    <row r="28" spans="1:7" x14ac:dyDescent="0.25">
      <c r="A28">
        <v>2014</v>
      </c>
      <c r="B28" t="s">
        <v>24</v>
      </c>
      <c r="C28" s="6">
        <v>213486.41179511941</v>
      </c>
      <c r="D28" s="6">
        <v>5488.6097769529988</v>
      </c>
      <c r="E28" s="6">
        <v>97602.099097366983</v>
      </c>
      <c r="F28" s="6">
        <v>218975.02157207238</v>
      </c>
      <c r="G28" s="6">
        <v>316577.12066943932</v>
      </c>
    </row>
    <row r="29" spans="1:7" x14ac:dyDescent="0.25">
      <c r="A29">
        <v>2014</v>
      </c>
      <c r="B29" t="s">
        <v>25</v>
      </c>
      <c r="C29" s="6">
        <v>167550.5488955469</v>
      </c>
      <c r="D29" s="6">
        <v>2457.8683265609998</v>
      </c>
      <c r="E29" s="6">
        <v>77562.057924703782</v>
      </c>
      <c r="F29" s="6">
        <v>170008.41722210791</v>
      </c>
      <c r="G29" s="6">
        <v>247570.47514681169</v>
      </c>
    </row>
    <row r="30" spans="1:7" x14ac:dyDescent="0.25">
      <c r="A30">
        <v>2014</v>
      </c>
      <c r="B30" t="s">
        <v>26</v>
      </c>
      <c r="C30" s="6">
        <v>125428.36440622473</v>
      </c>
      <c r="D30" s="6">
        <v>2303.2192865659999</v>
      </c>
      <c r="E30" s="6">
        <v>87936.015753163869</v>
      </c>
      <c r="F30" s="6">
        <v>127731.58369279074</v>
      </c>
      <c r="G30" s="6">
        <v>215667.59944595461</v>
      </c>
    </row>
    <row r="31" spans="1:7" x14ac:dyDescent="0.25">
      <c r="A31">
        <v>2014</v>
      </c>
      <c r="B31" t="s">
        <v>27</v>
      </c>
      <c r="C31" s="6">
        <v>96407.15832230878</v>
      </c>
      <c r="D31" s="6">
        <v>1168.8393494949999</v>
      </c>
      <c r="E31" s="6">
        <v>82939.71582919576</v>
      </c>
      <c r="F31" s="6">
        <v>97575.99767180378</v>
      </c>
      <c r="G31" s="6">
        <v>180515.71350099955</v>
      </c>
    </row>
    <row r="32" spans="1:7" x14ac:dyDescent="0.25">
      <c r="A32">
        <v>2014</v>
      </c>
      <c r="B32" t="s">
        <v>28</v>
      </c>
      <c r="C32" s="6">
        <v>47737.87894409502</v>
      </c>
      <c r="D32" s="6">
        <v>0</v>
      </c>
      <c r="E32" s="6">
        <v>76858.038302883841</v>
      </c>
      <c r="F32" s="6">
        <v>47737.87894409502</v>
      </c>
      <c r="G32" s="6">
        <v>124595.91724697886</v>
      </c>
    </row>
    <row r="33" spans="1:7" x14ac:dyDescent="0.25">
      <c r="A33">
        <v>2014</v>
      </c>
      <c r="B33" t="s">
        <v>29</v>
      </c>
      <c r="C33" s="6">
        <v>31906.72247498302</v>
      </c>
      <c r="D33" s="6">
        <v>0</v>
      </c>
      <c r="E33" s="6">
        <v>56114.024248956957</v>
      </c>
      <c r="F33" s="6">
        <v>31906.72247498302</v>
      </c>
      <c r="G33" s="6">
        <v>88020.74672393997</v>
      </c>
    </row>
    <row r="34" spans="1:7" x14ac:dyDescent="0.25">
      <c r="A34">
        <v>2015</v>
      </c>
      <c r="B34" t="s">
        <v>20</v>
      </c>
      <c r="C34" s="6">
        <v>385070.37715136423</v>
      </c>
      <c r="D34" s="6">
        <v>21353.833666712839</v>
      </c>
      <c r="E34" s="6">
        <v>146715.79670252386</v>
      </c>
      <c r="F34" s="6">
        <v>406424.21081807703</v>
      </c>
      <c r="G34" s="6">
        <v>553140.00752060092</v>
      </c>
    </row>
    <row r="35" spans="1:7" x14ac:dyDescent="0.25">
      <c r="A35">
        <v>2015</v>
      </c>
      <c r="B35" t="s">
        <v>21</v>
      </c>
      <c r="C35" s="6">
        <v>393565.76828581857</v>
      </c>
      <c r="D35" s="6">
        <v>14299.635302402899</v>
      </c>
      <c r="E35" s="6">
        <v>125651.10918227807</v>
      </c>
      <c r="F35" s="6">
        <v>407865.40358822147</v>
      </c>
      <c r="G35" s="6">
        <v>533516.51277049957</v>
      </c>
    </row>
    <row r="36" spans="1:7" x14ac:dyDescent="0.25">
      <c r="A36">
        <v>2015</v>
      </c>
      <c r="B36" t="s">
        <v>22</v>
      </c>
      <c r="C36" s="6">
        <v>316888.74266817595</v>
      </c>
      <c r="D36" s="6">
        <v>12880.532923859739</v>
      </c>
      <c r="E36" s="6">
        <v>91830.854779215442</v>
      </c>
      <c r="F36" s="6">
        <v>329769.27559203573</v>
      </c>
      <c r="G36" s="6">
        <v>421600.13037125114</v>
      </c>
    </row>
    <row r="37" spans="1:7" x14ac:dyDescent="0.25">
      <c r="A37">
        <v>2015</v>
      </c>
      <c r="B37" t="s">
        <v>23</v>
      </c>
      <c r="C37" s="6">
        <v>268784.97092227836</v>
      </c>
      <c r="D37" s="6">
        <v>15550.635792926838</v>
      </c>
      <c r="E37" s="6">
        <v>86476.746418713607</v>
      </c>
      <c r="F37" s="6">
        <v>284335.60671520518</v>
      </c>
      <c r="G37" s="6">
        <v>370812.35313391883</v>
      </c>
    </row>
    <row r="38" spans="1:7" x14ac:dyDescent="0.25">
      <c r="A38">
        <v>2015</v>
      </c>
      <c r="B38" t="s">
        <v>24</v>
      </c>
      <c r="C38" s="6">
        <v>231420.94910960947</v>
      </c>
      <c r="D38" s="6">
        <v>11806.60213777842</v>
      </c>
      <c r="E38" s="6">
        <v>87149.264813112837</v>
      </c>
      <c r="F38" s="6">
        <v>243227.55124738789</v>
      </c>
      <c r="G38" s="6">
        <v>330376.81606050069</v>
      </c>
    </row>
    <row r="39" spans="1:7" x14ac:dyDescent="0.25">
      <c r="A39">
        <v>2015</v>
      </c>
      <c r="B39" t="s">
        <v>25</v>
      </c>
      <c r="C39" s="6">
        <v>181603.37029491982</v>
      </c>
      <c r="D39" s="6">
        <v>3993.8961501712397</v>
      </c>
      <c r="E39" s="6">
        <v>91517.329033282265</v>
      </c>
      <c r="F39" s="6">
        <v>185597.26644509105</v>
      </c>
      <c r="G39" s="6">
        <v>277114.59547837335</v>
      </c>
    </row>
    <row r="40" spans="1:7" x14ac:dyDescent="0.25">
      <c r="A40">
        <v>2015</v>
      </c>
      <c r="B40" t="s">
        <v>26</v>
      </c>
      <c r="C40" s="6">
        <v>144886.87602249789</v>
      </c>
      <c r="D40" s="6">
        <v>3936.9789462757608</v>
      </c>
      <c r="E40" s="6">
        <v>91058.336211214686</v>
      </c>
      <c r="F40" s="6">
        <v>148823.85496877367</v>
      </c>
      <c r="G40" s="6">
        <v>239882.19117998832</v>
      </c>
    </row>
    <row r="41" spans="1:7" x14ac:dyDescent="0.25">
      <c r="A41">
        <v>2015</v>
      </c>
      <c r="B41" t="s">
        <v>27</v>
      </c>
      <c r="C41" s="6">
        <v>94041.267943939223</v>
      </c>
      <c r="D41" s="6">
        <v>1735.8741798977999</v>
      </c>
      <c r="E41" s="6">
        <v>85107.634927449442</v>
      </c>
      <c r="F41" s="6">
        <v>95777.142123837039</v>
      </c>
      <c r="G41" s="6">
        <v>180884.77705128648</v>
      </c>
    </row>
    <row r="42" spans="1:7" x14ac:dyDescent="0.25">
      <c r="A42">
        <v>2015</v>
      </c>
      <c r="B42" t="s">
        <v>28</v>
      </c>
      <c r="C42" s="6">
        <v>47199.227598277037</v>
      </c>
      <c r="D42" s="6">
        <v>752.80548051096002</v>
      </c>
      <c r="E42" s="6">
        <v>74527.249132161727</v>
      </c>
      <c r="F42" s="6">
        <v>47952.033078787994</v>
      </c>
      <c r="G42" s="6">
        <v>122479.28221094972</v>
      </c>
    </row>
    <row r="43" spans="1:7" x14ac:dyDescent="0.25">
      <c r="A43">
        <v>2015</v>
      </c>
      <c r="B43" t="s">
        <v>29</v>
      </c>
      <c r="C43" s="6">
        <v>40305.808960181916</v>
      </c>
      <c r="D43" s="6">
        <v>0</v>
      </c>
      <c r="E43" s="6">
        <v>61166.043541811727</v>
      </c>
      <c r="F43" s="6">
        <v>40305.808960181916</v>
      </c>
      <c r="G43" s="6">
        <v>101471.85250199365</v>
      </c>
    </row>
    <row r="44" spans="1:7" x14ac:dyDescent="0.25">
      <c r="A44">
        <v>2016</v>
      </c>
      <c r="B44" t="s">
        <v>20</v>
      </c>
      <c r="C44" s="6">
        <v>415475.35082286224</v>
      </c>
      <c r="D44" s="6">
        <v>20486.350597127443</v>
      </c>
      <c r="E44" s="6">
        <v>143931.98942993392</v>
      </c>
      <c r="F44" s="6">
        <v>435961.70141998969</v>
      </c>
      <c r="G44" s="6">
        <v>579893.69084992353</v>
      </c>
    </row>
    <row r="45" spans="1:7" x14ac:dyDescent="0.25">
      <c r="A45">
        <v>2016</v>
      </c>
      <c r="B45" t="s">
        <v>21</v>
      </c>
      <c r="C45" s="6">
        <v>372119.37499625765</v>
      </c>
      <c r="D45" s="6">
        <v>15517.821598378872</v>
      </c>
      <c r="E45" s="6">
        <v>112916.36886521376</v>
      </c>
      <c r="F45" s="6">
        <v>387637.19659463654</v>
      </c>
      <c r="G45" s="6">
        <v>500553.5654598503</v>
      </c>
    </row>
    <row r="46" spans="1:7" x14ac:dyDescent="0.25">
      <c r="A46">
        <v>2016</v>
      </c>
      <c r="B46" t="s">
        <v>22</v>
      </c>
      <c r="C46" s="6">
        <v>331007.06292719825</v>
      </c>
      <c r="D46" s="6">
        <v>13205.412459929448</v>
      </c>
      <c r="E46" s="6">
        <v>109480.58711625407</v>
      </c>
      <c r="F46" s="6">
        <v>344212.47538712772</v>
      </c>
      <c r="G46" s="6">
        <v>453693.06250338175</v>
      </c>
    </row>
    <row r="47" spans="1:7" x14ac:dyDescent="0.25">
      <c r="A47">
        <v>2016</v>
      </c>
      <c r="B47" t="s">
        <v>23</v>
      </c>
      <c r="C47" s="6">
        <v>283372.39471274673</v>
      </c>
      <c r="D47" s="6">
        <v>5482.822587997819</v>
      </c>
      <c r="E47" s="6">
        <v>96216.349538241804</v>
      </c>
      <c r="F47" s="6">
        <v>288855.21730074449</v>
      </c>
      <c r="G47" s="6">
        <v>385071.56683898636</v>
      </c>
    </row>
    <row r="48" spans="1:7" x14ac:dyDescent="0.25">
      <c r="A48">
        <v>2016</v>
      </c>
      <c r="B48" t="s">
        <v>24</v>
      </c>
      <c r="C48" s="6">
        <v>238362.5478569835</v>
      </c>
      <c r="D48" s="6">
        <v>7127.6727723660806</v>
      </c>
      <c r="E48" s="6">
        <v>103085.57286026023</v>
      </c>
      <c r="F48" s="6">
        <v>245490.22062934958</v>
      </c>
      <c r="G48" s="6">
        <v>348575.79348960979</v>
      </c>
    </row>
    <row r="49" spans="1:7" x14ac:dyDescent="0.25">
      <c r="A49">
        <v>2016</v>
      </c>
      <c r="B49" t="s">
        <v>25</v>
      </c>
      <c r="C49" s="6">
        <v>187610.74525924234</v>
      </c>
      <c r="D49" s="6">
        <v>8445.7198361556711</v>
      </c>
      <c r="E49" s="6">
        <v>98472.397712743055</v>
      </c>
      <c r="F49" s="6">
        <v>196056.46509539802</v>
      </c>
      <c r="G49" s="6">
        <v>294528.86280814104</v>
      </c>
    </row>
    <row r="50" spans="1:7" x14ac:dyDescent="0.25">
      <c r="A50">
        <v>2016</v>
      </c>
      <c r="B50" t="s">
        <v>26</v>
      </c>
      <c r="C50" s="6">
        <v>147976.35654649776</v>
      </c>
      <c r="D50" s="6">
        <v>3279.3275096987722</v>
      </c>
      <c r="E50" s="6">
        <v>93552.091097545534</v>
      </c>
      <c r="F50" s="6">
        <v>151255.68405619654</v>
      </c>
      <c r="G50" s="6">
        <v>244807.77515374206</v>
      </c>
    </row>
    <row r="51" spans="1:7" x14ac:dyDescent="0.25">
      <c r="A51">
        <v>2016</v>
      </c>
      <c r="B51" t="s">
        <v>27</v>
      </c>
      <c r="C51" s="6">
        <v>90066.743661274013</v>
      </c>
      <c r="D51" s="6">
        <v>2012.8660117793454</v>
      </c>
      <c r="E51" s="6">
        <v>98867.804990787117</v>
      </c>
      <c r="F51" s="6">
        <v>92079.609673053361</v>
      </c>
      <c r="G51" s="6">
        <v>190947.41466384046</v>
      </c>
    </row>
    <row r="52" spans="1:7" x14ac:dyDescent="0.25">
      <c r="A52">
        <v>2016</v>
      </c>
      <c r="B52" t="s">
        <v>28</v>
      </c>
      <c r="C52" s="6">
        <v>50782.96312810891</v>
      </c>
      <c r="D52" s="6">
        <v>714.322274608886</v>
      </c>
      <c r="E52" s="6">
        <v>77088.906688443487</v>
      </c>
      <c r="F52" s="6">
        <v>51497.285402717796</v>
      </c>
      <c r="G52" s="6">
        <v>128586.19209116128</v>
      </c>
    </row>
    <row r="53" spans="1:7" x14ac:dyDescent="0.25">
      <c r="A53">
        <v>2016</v>
      </c>
      <c r="B53" t="s">
        <v>29</v>
      </c>
      <c r="C53" s="6">
        <v>35846.722010322701</v>
      </c>
      <c r="D53" s="6">
        <v>0</v>
      </c>
      <c r="E53" s="6">
        <v>74499.733233514082</v>
      </c>
      <c r="F53" s="6">
        <v>35846.722010322701</v>
      </c>
      <c r="G53" s="6">
        <v>110346.45524383678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B3B2-9F02-4988-BA87-68322D5C1464}">
  <dimension ref="A3:G13"/>
  <sheetViews>
    <sheetView workbookViewId="0">
      <selection activeCell="A3" sqref="A3:G13"/>
    </sheetView>
  </sheetViews>
  <sheetFormatPr baseColWidth="10" defaultRowHeight="15" x14ac:dyDescent="0.25"/>
  <cols>
    <col min="1" max="1" width="17.5703125" bestFit="1" customWidth="1"/>
    <col min="2" max="2" width="10" bestFit="1" customWidth="1"/>
    <col min="3" max="3" width="17.85546875" bestFit="1" customWidth="1"/>
    <col min="4" max="4" width="20.85546875" bestFit="1" customWidth="1"/>
    <col min="5" max="5" width="17" bestFit="1" customWidth="1"/>
    <col min="6" max="6" width="12.42578125" bestFit="1" customWidth="1"/>
    <col min="7" max="7" width="12.140625" bestFit="1" customWidth="1"/>
  </cols>
  <sheetData>
    <row r="3" spans="1:7" x14ac:dyDescent="0.25">
      <c r="A3" s="11" t="s">
        <v>7</v>
      </c>
      <c r="B3" s="11" t="s">
        <v>6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5">
      <c r="A4">
        <v>2012</v>
      </c>
      <c r="B4" t="s">
        <v>4</v>
      </c>
      <c r="C4" s="6">
        <v>1163325.7665658917</v>
      </c>
      <c r="D4" s="6">
        <v>24631.321135289505</v>
      </c>
      <c r="E4" s="6">
        <v>145253.50046758048</v>
      </c>
      <c r="F4" s="6">
        <v>1187957.0877011809</v>
      </c>
      <c r="G4" s="6">
        <v>1333210.5881687617</v>
      </c>
    </row>
    <row r="5" spans="1:7" x14ac:dyDescent="0.25">
      <c r="A5">
        <v>2012</v>
      </c>
      <c r="B5" t="s">
        <v>5</v>
      </c>
      <c r="C5" s="6">
        <v>708638.75875382486</v>
      </c>
      <c r="D5" s="6">
        <v>13573.130509373008</v>
      </c>
      <c r="E5" s="6">
        <v>893830.65201764752</v>
      </c>
      <c r="F5" s="6">
        <v>722211.8892631979</v>
      </c>
      <c r="G5" s="6">
        <v>1616042.5412808452</v>
      </c>
    </row>
    <row r="6" spans="1:7" x14ac:dyDescent="0.25">
      <c r="A6">
        <v>2013</v>
      </c>
      <c r="B6" t="s">
        <v>4</v>
      </c>
      <c r="C6" s="6">
        <v>1219182.2675985361</v>
      </c>
      <c r="D6" s="6">
        <v>27407.935439812401</v>
      </c>
      <c r="E6" s="6">
        <v>129612.18625470006</v>
      </c>
      <c r="F6" s="6">
        <v>1246590.2030383486</v>
      </c>
      <c r="G6" s="6">
        <v>1376202.3892930488</v>
      </c>
    </row>
    <row r="7" spans="1:7" x14ac:dyDescent="0.25">
      <c r="A7">
        <v>2013</v>
      </c>
      <c r="B7" t="s">
        <v>5</v>
      </c>
      <c r="C7" s="6">
        <v>821678.92579849891</v>
      </c>
      <c r="D7" s="6">
        <v>22207.791249293376</v>
      </c>
      <c r="E7" s="6">
        <v>855088.67608777899</v>
      </c>
      <c r="F7" s="6">
        <v>843886.71704779228</v>
      </c>
      <c r="G7" s="6">
        <v>1698975.3931355719</v>
      </c>
    </row>
    <row r="8" spans="1:7" x14ac:dyDescent="0.25">
      <c r="A8">
        <v>2014</v>
      </c>
      <c r="B8" t="s">
        <v>4</v>
      </c>
      <c r="C8" s="6">
        <v>1191307.0737217607</v>
      </c>
      <c r="D8" s="6">
        <v>36106.198030118001</v>
      </c>
      <c r="E8" s="6">
        <v>128935.53396300701</v>
      </c>
      <c r="F8" s="6">
        <v>1227413.2717518786</v>
      </c>
      <c r="G8" s="6">
        <v>1356348.8057148862</v>
      </c>
    </row>
    <row r="9" spans="1:7" x14ac:dyDescent="0.25">
      <c r="A9">
        <v>2014</v>
      </c>
      <c r="B9" t="s">
        <v>5</v>
      </c>
      <c r="C9" s="6">
        <v>830504.16513630317</v>
      </c>
      <c r="D9" s="6">
        <v>37113.546358880005</v>
      </c>
      <c r="E9" s="6">
        <v>782154.71088793816</v>
      </c>
      <c r="F9" s="6">
        <v>867617.71149518329</v>
      </c>
      <c r="G9" s="6">
        <v>1649772.4223831212</v>
      </c>
    </row>
    <row r="10" spans="1:7" x14ac:dyDescent="0.25">
      <c r="A10">
        <v>2015</v>
      </c>
      <c r="B10" t="s">
        <v>4</v>
      </c>
      <c r="C10" s="6">
        <v>1222635.6304447432</v>
      </c>
      <c r="D10" s="6">
        <v>31932.332636323819</v>
      </c>
      <c r="E10" s="6">
        <v>135847.91434528556</v>
      </c>
      <c r="F10" s="6">
        <v>1254567.963081067</v>
      </c>
      <c r="G10" s="6">
        <v>1390415.8774263526</v>
      </c>
    </row>
    <row r="11" spans="1:7" x14ac:dyDescent="0.25">
      <c r="A11">
        <v>2015</v>
      </c>
      <c r="B11" t="s">
        <v>5</v>
      </c>
      <c r="C11" s="6">
        <v>881131.72851231927</v>
      </c>
      <c r="D11" s="6">
        <v>54378.461944212664</v>
      </c>
      <c r="E11" s="6">
        <v>805352.45039647818</v>
      </c>
      <c r="F11" s="6">
        <v>935510.19045653194</v>
      </c>
      <c r="G11" s="6">
        <v>1740862.6408530101</v>
      </c>
    </row>
    <row r="12" spans="1:7" x14ac:dyDescent="0.25">
      <c r="A12">
        <v>2016</v>
      </c>
      <c r="B12" t="s">
        <v>4</v>
      </c>
      <c r="C12" s="6">
        <v>1261105.1205538621</v>
      </c>
      <c r="D12" s="6">
        <v>38653.62211262223</v>
      </c>
      <c r="E12" s="6">
        <v>152060.54548399022</v>
      </c>
      <c r="F12" s="6">
        <v>1299758.7426664846</v>
      </c>
      <c r="G12" s="6">
        <v>1451819.2881504744</v>
      </c>
    </row>
    <row r="13" spans="1:7" x14ac:dyDescent="0.25">
      <c r="A13">
        <v>2016</v>
      </c>
      <c r="B13" t="s">
        <v>5</v>
      </c>
      <c r="C13" s="6">
        <v>891515.1413676322</v>
      </c>
      <c r="D13" s="6">
        <v>37618.693535420112</v>
      </c>
      <c r="E13" s="6">
        <v>856051.25604894676</v>
      </c>
      <c r="F13" s="6">
        <v>929133.83490305231</v>
      </c>
      <c r="G13" s="6">
        <v>1785185.090951999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E94B-BF8B-423C-8617-EB7F5EEF72D9}">
  <sheetPr>
    <tabColor rgb="FFFFC000"/>
  </sheetPr>
  <dimension ref="A1:G125"/>
  <sheetViews>
    <sheetView workbookViewId="0">
      <pane ySplit="2" topLeftCell="A12" activePane="bottomLeft" state="frozen"/>
      <selection pane="bottomLeft" activeCell="H1" sqref="H1:H1048576"/>
    </sheetView>
  </sheetViews>
  <sheetFormatPr baseColWidth="10" defaultRowHeight="15" x14ac:dyDescent="0.25"/>
  <cols>
    <col min="2" max="2" width="17" customWidth="1"/>
    <col min="3" max="3" width="19.85546875" customWidth="1"/>
    <col min="4" max="4" width="22.85546875" customWidth="1"/>
    <col min="5" max="5" width="19" customWidth="1"/>
    <col min="6" max="6" width="20.140625" customWidth="1"/>
    <col min="7" max="7" width="19.7109375" customWidth="1"/>
  </cols>
  <sheetData>
    <row r="1" spans="1:7" ht="80.25" customHeight="1" x14ac:dyDescent="0.25">
      <c r="E1" s="8" t="s">
        <v>50</v>
      </c>
      <c r="F1" s="8" t="s">
        <v>51</v>
      </c>
      <c r="G1" s="8" t="s">
        <v>52</v>
      </c>
    </row>
    <row r="2" spans="1:7" ht="45" x14ac:dyDescent="0.25">
      <c r="A2" s="12" t="s">
        <v>7</v>
      </c>
      <c r="B2" s="12" t="s">
        <v>0</v>
      </c>
      <c r="C2" s="12" t="s">
        <v>1</v>
      </c>
      <c r="D2" s="12" t="s">
        <v>2</v>
      </c>
      <c r="E2" s="12" t="s">
        <v>3</v>
      </c>
      <c r="F2" s="8" t="s">
        <v>53</v>
      </c>
      <c r="G2" s="8" t="s">
        <v>54</v>
      </c>
    </row>
    <row r="3" spans="1:7" x14ac:dyDescent="0.25">
      <c r="A3" s="1">
        <v>2012</v>
      </c>
      <c r="B3" s="1" t="s">
        <v>20</v>
      </c>
      <c r="C3" s="2">
        <v>345285.59075173119</v>
      </c>
      <c r="D3" s="2">
        <v>12108.026783535279</v>
      </c>
      <c r="E3" s="2">
        <v>149234.71280954999</v>
      </c>
      <c r="F3" s="2">
        <v>357393.61753526644</v>
      </c>
      <c r="G3" s="2">
        <v>506628.33034481644</v>
      </c>
    </row>
    <row r="4" spans="1:7" x14ac:dyDescent="0.25">
      <c r="A4" s="1">
        <v>2012</v>
      </c>
      <c r="B4" s="1" t="s">
        <v>21</v>
      </c>
      <c r="C4" s="2">
        <v>308857.92079804977</v>
      </c>
      <c r="D4" s="2">
        <v>8582.2811204480004</v>
      </c>
      <c r="E4" s="2">
        <v>131684.18529773294</v>
      </c>
      <c r="F4" s="2">
        <v>317440.2019184978</v>
      </c>
      <c r="G4" s="2">
        <v>449124.38721623074</v>
      </c>
    </row>
    <row r="5" spans="1:7" x14ac:dyDescent="0.25">
      <c r="A5" s="1">
        <v>2012</v>
      </c>
      <c r="B5" s="1" t="s">
        <v>22</v>
      </c>
      <c r="C5" s="2">
        <v>278466.71023963706</v>
      </c>
      <c r="D5" s="2">
        <v>6354.4514226930278</v>
      </c>
      <c r="E5" s="2">
        <v>113946.34476258414</v>
      </c>
      <c r="F5" s="2">
        <v>284821.16166233015</v>
      </c>
      <c r="G5" s="2">
        <v>398767.50642491423</v>
      </c>
    </row>
    <row r="6" spans="1:7" x14ac:dyDescent="0.25">
      <c r="A6" s="1">
        <v>2012</v>
      </c>
      <c r="B6" s="1" t="s">
        <v>23</v>
      </c>
      <c r="C6" s="2">
        <v>231232.80203618435</v>
      </c>
      <c r="D6" s="2">
        <v>3403.5658889462825</v>
      </c>
      <c r="E6" s="2">
        <v>98611.357247857566</v>
      </c>
      <c r="F6" s="2">
        <v>234636.36792513065</v>
      </c>
      <c r="G6" s="2">
        <v>333247.7251729882</v>
      </c>
    </row>
    <row r="7" spans="1:7" x14ac:dyDescent="0.25">
      <c r="A7" s="1">
        <v>2012</v>
      </c>
      <c r="B7" s="1" t="s">
        <v>24</v>
      </c>
      <c r="C7" s="2">
        <v>230915.03863725171</v>
      </c>
      <c r="D7" s="2">
        <v>3247.1586865109348</v>
      </c>
      <c r="E7" s="2">
        <v>112664.68927384932</v>
      </c>
      <c r="F7" s="2">
        <v>234162.19732376264</v>
      </c>
      <c r="G7" s="2">
        <v>346826.88659761194</v>
      </c>
    </row>
    <row r="8" spans="1:7" x14ac:dyDescent="0.25">
      <c r="A8" s="1">
        <v>2012</v>
      </c>
      <c r="B8" s="1" t="s">
        <v>25</v>
      </c>
      <c r="C8" s="2">
        <v>170619.02204180509</v>
      </c>
      <c r="D8" s="2">
        <v>2602.7078141810202</v>
      </c>
      <c r="E8" s="2">
        <v>87346.177761982137</v>
      </c>
      <c r="F8" s="2">
        <v>173221.72985598611</v>
      </c>
      <c r="G8" s="2">
        <v>260567.90761796825</v>
      </c>
    </row>
    <row r="9" spans="1:7" x14ac:dyDescent="0.25">
      <c r="A9" s="1">
        <v>2012</v>
      </c>
      <c r="B9" s="1" t="s">
        <v>26</v>
      </c>
      <c r="C9" s="2">
        <v>127163.9698382177</v>
      </c>
      <c r="D9" s="2">
        <v>1213.954806610315</v>
      </c>
      <c r="E9" s="2">
        <v>91499.628504398948</v>
      </c>
      <c r="F9" s="2">
        <v>128377.92464482802</v>
      </c>
      <c r="G9" s="2">
        <v>219877.55314922697</v>
      </c>
    </row>
    <row r="10" spans="1:7" x14ac:dyDescent="0.25">
      <c r="A10" s="1">
        <v>2012</v>
      </c>
      <c r="B10" s="1" t="s">
        <v>27</v>
      </c>
      <c r="C10" s="2">
        <v>84491.372591171763</v>
      </c>
      <c r="D10" s="2">
        <v>520.26080679270251</v>
      </c>
      <c r="E10" s="2">
        <v>96440.057685180276</v>
      </c>
      <c r="F10" s="2">
        <v>85011.633397964455</v>
      </c>
      <c r="G10" s="2">
        <v>181451.69108314475</v>
      </c>
    </row>
    <row r="11" spans="1:7" x14ac:dyDescent="0.25">
      <c r="A11" s="1">
        <v>2012</v>
      </c>
      <c r="B11" s="1" t="s">
        <v>28</v>
      </c>
      <c r="C11" s="2">
        <v>55629.810770202042</v>
      </c>
      <c r="D11" s="2">
        <v>172.04431494494997</v>
      </c>
      <c r="E11" s="2">
        <v>80451.24763718716</v>
      </c>
      <c r="F11" s="2">
        <v>55801.855085146992</v>
      </c>
      <c r="G11" s="2">
        <v>136253.10272233415</v>
      </c>
    </row>
    <row r="12" spans="1:7" x14ac:dyDescent="0.25">
      <c r="A12" s="1">
        <v>2012</v>
      </c>
      <c r="B12" s="1" t="s">
        <v>29</v>
      </c>
      <c r="C12" s="2">
        <v>39302.287615465939</v>
      </c>
      <c r="D12" s="2">
        <v>0</v>
      </c>
      <c r="E12" s="2">
        <v>77205.751504905245</v>
      </c>
      <c r="F12" s="2">
        <v>39302.287615465939</v>
      </c>
      <c r="G12" s="2">
        <v>116508.03912037119</v>
      </c>
    </row>
    <row r="13" spans="1:7" x14ac:dyDescent="0.25">
      <c r="A13" s="1">
        <v>2013</v>
      </c>
      <c r="B13" s="1" t="s">
        <v>20</v>
      </c>
      <c r="C13" s="2">
        <v>353664.99980572972</v>
      </c>
      <c r="D13" s="2">
        <v>17232.981051436334</v>
      </c>
      <c r="E13" s="2">
        <v>150517.52537133219</v>
      </c>
      <c r="F13" s="2">
        <v>370897.980857166</v>
      </c>
      <c r="G13" s="2">
        <v>521415.50622849818</v>
      </c>
    </row>
    <row r="14" spans="1:7" x14ac:dyDescent="0.25">
      <c r="A14" s="1">
        <v>2013</v>
      </c>
      <c r="B14" s="1" t="s">
        <v>21</v>
      </c>
      <c r="C14" s="2">
        <v>325405.56364268879</v>
      </c>
      <c r="D14" s="2">
        <v>12105.932415780062</v>
      </c>
      <c r="E14" s="2">
        <v>125329.94423243451</v>
      </c>
      <c r="F14" s="2">
        <v>337511.49605846882</v>
      </c>
      <c r="G14" s="2">
        <v>462841.44029090332</v>
      </c>
    </row>
    <row r="15" spans="1:7" x14ac:dyDescent="0.25">
      <c r="A15" s="1">
        <v>2013</v>
      </c>
      <c r="B15" s="1" t="s">
        <v>22</v>
      </c>
      <c r="C15" s="2">
        <v>314418.11993854865</v>
      </c>
      <c r="D15" s="2">
        <v>5095.3397650205798</v>
      </c>
      <c r="E15" s="2">
        <v>95949.340126692245</v>
      </c>
      <c r="F15" s="2">
        <v>319513.45970356924</v>
      </c>
      <c r="G15" s="2">
        <v>415462.7998302615</v>
      </c>
    </row>
    <row r="16" spans="1:7" x14ac:dyDescent="0.25">
      <c r="A16" s="1">
        <v>2013</v>
      </c>
      <c r="B16" s="1" t="s">
        <v>23</v>
      </c>
      <c r="C16" s="2">
        <v>257188.78326554407</v>
      </c>
      <c r="D16" s="2">
        <v>4424.0458985047999</v>
      </c>
      <c r="E16" s="2">
        <v>98199.325737836305</v>
      </c>
      <c r="F16" s="2">
        <v>261612.82916404886</v>
      </c>
      <c r="G16" s="2">
        <v>359812.15490188519</v>
      </c>
    </row>
    <row r="17" spans="1:7" x14ac:dyDescent="0.25">
      <c r="A17" s="1">
        <v>2013</v>
      </c>
      <c r="B17" s="1" t="s">
        <v>24</v>
      </c>
      <c r="C17" s="2">
        <v>258031.48272426473</v>
      </c>
      <c r="D17" s="2">
        <v>6483.7162205795012</v>
      </c>
      <c r="E17" s="2">
        <v>97276.21163935645</v>
      </c>
      <c r="F17" s="2">
        <v>264515.19894484425</v>
      </c>
      <c r="G17" s="2">
        <v>361791.4105842007</v>
      </c>
    </row>
    <row r="18" spans="1:7" x14ac:dyDescent="0.25">
      <c r="A18" s="1">
        <v>2013</v>
      </c>
      <c r="B18" s="1" t="s">
        <v>25</v>
      </c>
      <c r="C18" s="2">
        <v>186858.891503839</v>
      </c>
      <c r="D18" s="2">
        <v>2473.9479456143399</v>
      </c>
      <c r="E18" s="2">
        <v>87981.194897005407</v>
      </c>
      <c r="F18" s="2">
        <v>189332.83944945334</v>
      </c>
      <c r="G18" s="2">
        <v>277314.03434645873</v>
      </c>
    </row>
    <row r="19" spans="1:7" x14ac:dyDescent="0.25">
      <c r="A19" s="1">
        <v>2013</v>
      </c>
      <c r="B19" s="1" t="s">
        <v>26</v>
      </c>
      <c r="C19" s="2">
        <v>146040.45006866788</v>
      </c>
      <c r="D19" s="2">
        <v>790.0806337171</v>
      </c>
      <c r="E19" s="2">
        <v>98198.023303870912</v>
      </c>
      <c r="F19" s="2">
        <v>146830.530702385</v>
      </c>
      <c r="G19" s="2">
        <v>245028.5540062559</v>
      </c>
    </row>
    <row r="20" spans="1:7" x14ac:dyDescent="0.25">
      <c r="A20" s="1">
        <v>2013</v>
      </c>
      <c r="B20" s="1" t="s">
        <v>27</v>
      </c>
      <c r="C20" s="2">
        <v>93176.113239077502</v>
      </c>
      <c r="D20" s="2">
        <v>538.71001407005997</v>
      </c>
      <c r="E20" s="2">
        <v>81991.081900900375</v>
      </c>
      <c r="F20" s="2">
        <v>93714.823253147566</v>
      </c>
      <c r="G20" s="2">
        <v>175705.90515404794</v>
      </c>
    </row>
    <row r="21" spans="1:7" x14ac:dyDescent="0.25">
      <c r="A21" s="1">
        <v>2013</v>
      </c>
      <c r="B21" s="1" t="s">
        <v>28</v>
      </c>
      <c r="C21" s="2">
        <v>65989.773988329427</v>
      </c>
      <c r="D21" s="2">
        <v>470.97274438299996</v>
      </c>
      <c r="E21" s="2">
        <v>76520.157386114573</v>
      </c>
      <c r="F21" s="2">
        <v>66460.746732712432</v>
      </c>
      <c r="G21" s="2">
        <v>142980.90411882702</v>
      </c>
    </row>
    <row r="22" spans="1:7" x14ac:dyDescent="0.25">
      <c r="A22" s="1">
        <v>2013</v>
      </c>
      <c r="B22" s="1" t="s">
        <v>29</v>
      </c>
      <c r="C22" s="2">
        <v>40087.015220345515</v>
      </c>
      <c r="D22" s="2">
        <v>0</v>
      </c>
      <c r="E22" s="2">
        <v>72738.057746936276</v>
      </c>
      <c r="F22" s="2">
        <v>40087.015220345515</v>
      </c>
      <c r="G22" s="2">
        <v>112825.07296728178</v>
      </c>
    </row>
    <row r="23" spans="1:7" x14ac:dyDescent="0.25">
      <c r="A23" s="1">
        <v>2014</v>
      </c>
      <c r="B23" s="1" t="s">
        <v>20</v>
      </c>
      <c r="C23" s="2">
        <v>404959.42417247815</v>
      </c>
      <c r="D23" s="2">
        <v>25515.207594669999</v>
      </c>
      <c r="E23" s="2">
        <v>125676.4347608571</v>
      </c>
      <c r="F23" s="2">
        <v>430474.63176714815</v>
      </c>
      <c r="G23" s="2">
        <v>556151.06652800529</v>
      </c>
    </row>
    <row r="24" spans="1:7" x14ac:dyDescent="0.25">
      <c r="A24" s="1">
        <v>2014</v>
      </c>
      <c r="B24" s="1" t="s">
        <v>21</v>
      </c>
      <c r="C24" s="2">
        <v>364404.64231806947</v>
      </c>
      <c r="D24" s="2">
        <v>15693.159150698</v>
      </c>
      <c r="E24" s="2">
        <v>122401.78054980811</v>
      </c>
      <c r="F24" s="2">
        <v>380097.80146876746</v>
      </c>
      <c r="G24" s="2">
        <v>502499.58201857563</v>
      </c>
    </row>
    <row r="25" spans="1:7" x14ac:dyDescent="0.25">
      <c r="A25" s="1">
        <v>2014</v>
      </c>
      <c r="B25" s="1" t="s">
        <v>22</v>
      </c>
      <c r="C25" s="2">
        <v>319164.43603270804</v>
      </c>
      <c r="D25" s="2">
        <v>12247.130433078</v>
      </c>
      <c r="E25" s="2">
        <v>94276.425754092939</v>
      </c>
      <c r="F25" s="2">
        <v>331411.56646578602</v>
      </c>
      <c r="G25" s="2">
        <v>425687.99221987894</v>
      </c>
    </row>
    <row r="26" spans="1:7" x14ac:dyDescent="0.25">
      <c r="A26" s="1">
        <v>2014</v>
      </c>
      <c r="B26" s="1" t="s">
        <v>23</v>
      </c>
      <c r="C26" s="2">
        <v>250765.6514965306</v>
      </c>
      <c r="D26" s="2">
        <v>8345.710470977001</v>
      </c>
      <c r="E26" s="2">
        <v>89723.652629915843</v>
      </c>
      <c r="F26" s="2">
        <v>259111.3619675076</v>
      </c>
      <c r="G26" s="2">
        <v>348835.01459742343</v>
      </c>
    </row>
    <row r="27" spans="1:7" x14ac:dyDescent="0.25">
      <c r="A27" s="1">
        <v>2014</v>
      </c>
      <c r="B27" s="1" t="s">
        <v>24</v>
      </c>
      <c r="C27" s="2">
        <v>213486.41179511941</v>
      </c>
      <c r="D27" s="2">
        <v>5488.6097769529988</v>
      </c>
      <c r="E27" s="2">
        <v>97602.099097366983</v>
      </c>
      <c r="F27" s="2">
        <v>218975.02157207238</v>
      </c>
      <c r="G27" s="2">
        <v>316577.12066943932</v>
      </c>
    </row>
    <row r="28" spans="1:7" x14ac:dyDescent="0.25">
      <c r="A28" s="1">
        <v>2014</v>
      </c>
      <c r="B28" s="1" t="s">
        <v>25</v>
      </c>
      <c r="C28" s="2">
        <v>167550.5488955469</v>
      </c>
      <c r="D28" s="2">
        <v>2457.8683265609998</v>
      </c>
      <c r="E28" s="2">
        <v>77562.057924703782</v>
      </c>
      <c r="F28" s="2">
        <v>170008.41722210791</v>
      </c>
      <c r="G28" s="2">
        <v>247570.47514681169</v>
      </c>
    </row>
    <row r="29" spans="1:7" x14ac:dyDescent="0.25">
      <c r="A29" s="1">
        <v>2014</v>
      </c>
      <c r="B29" s="1" t="s">
        <v>26</v>
      </c>
      <c r="C29" s="2">
        <v>125428.36440622473</v>
      </c>
      <c r="D29" s="2">
        <v>2303.2192865659999</v>
      </c>
      <c r="E29" s="2">
        <v>87936.015753163869</v>
      </c>
      <c r="F29" s="2">
        <v>127731.58369279074</v>
      </c>
      <c r="G29" s="2">
        <v>215667.59944595461</v>
      </c>
    </row>
    <row r="30" spans="1:7" x14ac:dyDescent="0.25">
      <c r="A30" s="1">
        <v>2014</v>
      </c>
      <c r="B30" s="1" t="s">
        <v>27</v>
      </c>
      <c r="C30" s="2">
        <v>96407.15832230878</v>
      </c>
      <c r="D30" s="2">
        <v>1168.8393494949999</v>
      </c>
      <c r="E30" s="2">
        <v>82939.71582919576</v>
      </c>
      <c r="F30" s="2">
        <v>97575.99767180378</v>
      </c>
      <c r="G30" s="2">
        <v>180515.71350099955</v>
      </c>
    </row>
    <row r="31" spans="1:7" x14ac:dyDescent="0.25">
      <c r="A31" s="1">
        <v>2014</v>
      </c>
      <c r="B31" s="1" t="s">
        <v>28</v>
      </c>
      <c r="C31" s="2">
        <v>47737.87894409502</v>
      </c>
      <c r="D31" s="2">
        <v>0</v>
      </c>
      <c r="E31" s="2">
        <v>76858.038302883841</v>
      </c>
      <c r="F31" s="2">
        <v>47737.87894409502</v>
      </c>
      <c r="G31" s="2">
        <v>124595.91724697886</v>
      </c>
    </row>
    <row r="32" spans="1:7" x14ac:dyDescent="0.25">
      <c r="A32" s="1">
        <v>2014</v>
      </c>
      <c r="B32" s="1" t="s">
        <v>29</v>
      </c>
      <c r="C32" s="2">
        <v>31906.72247498302</v>
      </c>
      <c r="D32" s="2">
        <v>0</v>
      </c>
      <c r="E32" s="2">
        <v>56114.024248956957</v>
      </c>
      <c r="F32" s="2">
        <v>31906.72247498302</v>
      </c>
      <c r="G32" s="2">
        <v>88020.74672393997</v>
      </c>
    </row>
    <row r="33" spans="1:7" x14ac:dyDescent="0.25">
      <c r="A33" s="1">
        <v>2015</v>
      </c>
      <c r="B33" s="1" t="s">
        <v>20</v>
      </c>
      <c r="C33" s="2">
        <v>385070.37715136423</v>
      </c>
      <c r="D33" s="2">
        <v>21353.833666712839</v>
      </c>
      <c r="E33" s="2">
        <v>146715.79670252386</v>
      </c>
      <c r="F33" s="2">
        <v>406424.21081807703</v>
      </c>
      <c r="G33" s="2">
        <v>553140.00752060092</v>
      </c>
    </row>
    <row r="34" spans="1:7" x14ac:dyDescent="0.25">
      <c r="A34" s="1">
        <v>2015</v>
      </c>
      <c r="B34" s="1" t="s">
        <v>21</v>
      </c>
      <c r="C34" s="2">
        <v>393565.76828581857</v>
      </c>
      <c r="D34" s="2">
        <v>14299.635302402899</v>
      </c>
      <c r="E34" s="2">
        <v>125651.10918227807</v>
      </c>
      <c r="F34" s="2">
        <v>407865.40358822147</v>
      </c>
      <c r="G34" s="2">
        <v>533516.51277049957</v>
      </c>
    </row>
    <row r="35" spans="1:7" x14ac:dyDescent="0.25">
      <c r="A35" s="1">
        <v>2015</v>
      </c>
      <c r="B35" s="1" t="s">
        <v>22</v>
      </c>
      <c r="C35" s="2">
        <v>316888.74266817595</v>
      </c>
      <c r="D35" s="2">
        <v>12880.532923859739</v>
      </c>
      <c r="E35" s="2">
        <v>91830.854779215442</v>
      </c>
      <c r="F35" s="2">
        <v>329769.27559203573</v>
      </c>
      <c r="G35" s="2">
        <v>421600.13037125114</v>
      </c>
    </row>
    <row r="36" spans="1:7" x14ac:dyDescent="0.25">
      <c r="A36" s="1">
        <v>2015</v>
      </c>
      <c r="B36" s="1" t="s">
        <v>23</v>
      </c>
      <c r="C36" s="2">
        <v>268784.97092227836</v>
      </c>
      <c r="D36" s="2">
        <v>15550.635792926838</v>
      </c>
      <c r="E36" s="2">
        <v>86476.746418713607</v>
      </c>
      <c r="F36" s="2">
        <v>284335.60671520518</v>
      </c>
      <c r="G36" s="2">
        <v>370812.35313391883</v>
      </c>
    </row>
    <row r="37" spans="1:7" x14ac:dyDescent="0.25">
      <c r="A37" s="1">
        <v>2015</v>
      </c>
      <c r="B37" s="1" t="s">
        <v>24</v>
      </c>
      <c r="C37" s="2">
        <v>231420.94910960947</v>
      </c>
      <c r="D37" s="2">
        <v>11806.60213777842</v>
      </c>
      <c r="E37" s="2">
        <v>87149.264813112837</v>
      </c>
      <c r="F37" s="2">
        <v>243227.55124738789</v>
      </c>
      <c r="G37" s="2">
        <v>330376.81606050069</v>
      </c>
    </row>
    <row r="38" spans="1:7" x14ac:dyDescent="0.25">
      <c r="A38" s="1">
        <v>2015</v>
      </c>
      <c r="B38" s="1" t="s">
        <v>25</v>
      </c>
      <c r="C38" s="2">
        <v>181603.37029491982</v>
      </c>
      <c r="D38" s="2">
        <v>3993.8961501712397</v>
      </c>
      <c r="E38" s="2">
        <v>91517.329033282265</v>
      </c>
      <c r="F38" s="2">
        <v>185597.26644509105</v>
      </c>
      <c r="G38" s="2">
        <v>277114.59547837335</v>
      </c>
    </row>
    <row r="39" spans="1:7" x14ac:dyDescent="0.25">
      <c r="A39" s="1">
        <v>2015</v>
      </c>
      <c r="B39" s="1" t="s">
        <v>26</v>
      </c>
      <c r="C39" s="2">
        <v>144886.87602249789</v>
      </c>
      <c r="D39" s="2">
        <v>3936.9789462757608</v>
      </c>
      <c r="E39" s="2">
        <v>91058.336211214686</v>
      </c>
      <c r="F39" s="2">
        <v>148823.85496877367</v>
      </c>
      <c r="G39" s="2">
        <v>239882.19117998832</v>
      </c>
    </row>
    <row r="40" spans="1:7" x14ac:dyDescent="0.25">
      <c r="A40" s="1">
        <v>2015</v>
      </c>
      <c r="B40" s="1" t="s">
        <v>27</v>
      </c>
      <c r="C40" s="2">
        <v>94041.267943939223</v>
      </c>
      <c r="D40" s="2">
        <v>1735.8741798977999</v>
      </c>
      <c r="E40" s="2">
        <v>85107.634927449442</v>
      </c>
      <c r="F40" s="2">
        <v>95777.142123837039</v>
      </c>
      <c r="G40" s="2">
        <v>180884.77705128648</v>
      </c>
    </row>
    <row r="41" spans="1:7" x14ac:dyDescent="0.25">
      <c r="A41" s="1">
        <v>2015</v>
      </c>
      <c r="B41" s="1" t="s">
        <v>28</v>
      </c>
      <c r="C41" s="2">
        <v>47199.227598277037</v>
      </c>
      <c r="D41" s="2">
        <v>752.80548051096002</v>
      </c>
      <c r="E41" s="2">
        <v>74527.249132161727</v>
      </c>
      <c r="F41" s="2">
        <v>47952.033078787994</v>
      </c>
      <c r="G41" s="2">
        <v>122479.28221094972</v>
      </c>
    </row>
    <row r="42" spans="1:7" x14ac:dyDescent="0.25">
      <c r="A42" s="1">
        <v>2015</v>
      </c>
      <c r="B42" s="1" t="s">
        <v>29</v>
      </c>
      <c r="C42" s="2">
        <v>40305.808960181916</v>
      </c>
      <c r="D42" s="2">
        <v>0</v>
      </c>
      <c r="E42" s="2">
        <v>61166.043541811727</v>
      </c>
      <c r="F42" s="2">
        <v>40305.808960181916</v>
      </c>
      <c r="G42" s="2">
        <v>101471.85250199365</v>
      </c>
    </row>
    <row r="43" spans="1:7" x14ac:dyDescent="0.25">
      <c r="A43" s="1">
        <v>2016</v>
      </c>
      <c r="B43" s="1" t="s">
        <v>20</v>
      </c>
      <c r="C43" s="2">
        <v>415475.35082286224</v>
      </c>
      <c r="D43" s="2">
        <v>20486.350597127443</v>
      </c>
      <c r="E43" s="2">
        <v>143931.98942993392</v>
      </c>
      <c r="F43" s="2">
        <v>435961.70141998969</v>
      </c>
      <c r="G43" s="2">
        <v>579893.69084992353</v>
      </c>
    </row>
    <row r="44" spans="1:7" x14ac:dyDescent="0.25">
      <c r="A44" s="1">
        <v>2016</v>
      </c>
      <c r="B44" s="1" t="s">
        <v>21</v>
      </c>
      <c r="C44" s="2">
        <v>372119.37499625765</v>
      </c>
      <c r="D44" s="2">
        <v>15517.821598378872</v>
      </c>
      <c r="E44" s="2">
        <v>112916.36886521376</v>
      </c>
      <c r="F44" s="2">
        <v>387637.19659463654</v>
      </c>
      <c r="G44" s="2">
        <v>500553.5654598503</v>
      </c>
    </row>
    <row r="45" spans="1:7" x14ac:dyDescent="0.25">
      <c r="A45" s="1">
        <v>2016</v>
      </c>
      <c r="B45" s="1" t="s">
        <v>22</v>
      </c>
      <c r="C45" s="2">
        <v>331007.06292719825</v>
      </c>
      <c r="D45" s="2">
        <v>13205.412459929448</v>
      </c>
      <c r="E45" s="2">
        <v>109480.58711625407</v>
      </c>
      <c r="F45" s="2">
        <v>344212.47538712772</v>
      </c>
      <c r="G45" s="2">
        <v>453693.06250338175</v>
      </c>
    </row>
    <row r="46" spans="1:7" x14ac:dyDescent="0.25">
      <c r="A46" s="1">
        <v>2016</v>
      </c>
      <c r="B46" s="1" t="s">
        <v>23</v>
      </c>
      <c r="C46" s="2">
        <v>283372.39471274673</v>
      </c>
      <c r="D46" s="2">
        <v>5482.822587997819</v>
      </c>
      <c r="E46" s="2">
        <v>96216.349538241804</v>
      </c>
      <c r="F46" s="2">
        <v>288855.21730074449</v>
      </c>
      <c r="G46" s="2">
        <v>385071.56683898636</v>
      </c>
    </row>
    <row r="47" spans="1:7" x14ac:dyDescent="0.25">
      <c r="A47" s="1">
        <v>2016</v>
      </c>
      <c r="B47" s="1" t="s">
        <v>24</v>
      </c>
      <c r="C47" s="2">
        <v>238362.5478569835</v>
      </c>
      <c r="D47" s="2">
        <v>7127.6727723660806</v>
      </c>
      <c r="E47" s="2">
        <v>103085.57286026023</v>
      </c>
      <c r="F47" s="2">
        <v>245490.22062934958</v>
      </c>
      <c r="G47" s="2">
        <v>348575.79348960979</v>
      </c>
    </row>
    <row r="48" spans="1:7" x14ac:dyDescent="0.25">
      <c r="A48" s="1">
        <v>2016</v>
      </c>
      <c r="B48" s="1" t="s">
        <v>25</v>
      </c>
      <c r="C48" s="2">
        <v>187610.74525924234</v>
      </c>
      <c r="D48" s="2">
        <v>8445.7198361556711</v>
      </c>
      <c r="E48" s="2">
        <v>98472.397712743055</v>
      </c>
      <c r="F48" s="2">
        <v>196056.46509539802</v>
      </c>
      <c r="G48" s="2">
        <v>294528.86280814104</v>
      </c>
    </row>
    <row r="49" spans="1:7" x14ac:dyDescent="0.25">
      <c r="A49" s="1">
        <v>2016</v>
      </c>
      <c r="B49" s="1" t="s">
        <v>26</v>
      </c>
      <c r="C49" s="2">
        <v>147976.35654649776</v>
      </c>
      <c r="D49" s="2">
        <v>3279.3275096987722</v>
      </c>
      <c r="E49" s="2">
        <v>93552.091097545534</v>
      </c>
      <c r="F49" s="2">
        <v>151255.68405619654</v>
      </c>
      <c r="G49" s="2">
        <v>244807.77515374206</v>
      </c>
    </row>
    <row r="50" spans="1:7" x14ac:dyDescent="0.25">
      <c r="A50" s="1">
        <v>2016</v>
      </c>
      <c r="B50" s="1" t="s">
        <v>27</v>
      </c>
      <c r="C50" s="2">
        <v>90066.743661274013</v>
      </c>
      <c r="D50" s="2">
        <v>2012.8660117793454</v>
      </c>
      <c r="E50" s="2">
        <v>98867.804990787117</v>
      </c>
      <c r="F50" s="2">
        <v>92079.609673053361</v>
      </c>
      <c r="G50" s="2">
        <v>190947.41466384046</v>
      </c>
    </row>
    <row r="51" spans="1:7" x14ac:dyDescent="0.25">
      <c r="A51" s="1">
        <v>2016</v>
      </c>
      <c r="B51" s="1" t="s">
        <v>28</v>
      </c>
      <c r="C51" s="2">
        <v>50782.96312810891</v>
      </c>
      <c r="D51" s="2">
        <v>714.322274608886</v>
      </c>
      <c r="E51" s="2">
        <v>77088.906688443487</v>
      </c>
      <c r="F51" s="2">
        <v>51497.285402717796</v>
      </c>
      <c r="G51" s="2">
        <v>128586.19209116128</v>
      </c>
    </row>
    <row r="52" spans="1:7" x14ac:dyDescent="0.25">
      <c r="A52" s="1">
        <v>2016</v>
      </c>
      <c r="B52" s="1" t="s">
        <v>29</v>
      </c>
      <c r="C52" s="2">
        <v>35846.722010322701</v>
      </c>
      <c r="D52" s="2">
        <v>0</v>
      </c>
      <c r="E52" s="2">
        <v>74499.733233514082</v>
      </c>
      <c r="F52" s="2">
        <v>35846.722010322701</v>
      </c>
      <c r="G52" s="2">
        <v>110346.45524383678</v>
      </c>
    </row>
    <row r="53" spans="1:7" x14ac:dyDescent="0.25">
      <c r="A53" s="1">
        <v>2017</v>
      </c>
      <c r="B53" s="1" t="s">
        <v>8</v>
      </c>
      <c r="C53" s="2">
        <v>28753.365472650301</v>
      </c>
      <c r="D53" s="2">
        <v>1476.1437811577662</v>
      </c>
      <c r="E53" s="2">
        <v>328428.37020644289</v>
      </c>
      <c r="F53" s="2">
        <v>30229.509253808068</v>
      </c>
      <c r="G53" s="2">
        <v>358657.87946025096</v>
      </c>
    </row>
    <row r="54" spans="1:7" x14ac:dyDescent="0.25">
      <c r="A54" s="1">
        <v>2017</v>
      </c>
      <c r="B54" s="1" t="s">
        <v>9</v>
      </c>
      <c r="C54" s="2">
        <v>104280.39089405011</v>
      </c>
      <c r="D54" s="2">
        <v>14632.67470221648</v>
      </c>
      <c r="E54" s="2">
        <v>426350.59995971137</v>
      </c>
      <c r="F54" s="2">
        <v>118913.06559626659</v>
      </c>
      <c r="G54" s="2">
        <v>545263.66555597796</v>
      </c>
    </row>
    <row r="55" spans="1:7" x14ac:dyDescent="0.25">
      <c r="A55" s="1">
        <v>2017</v>
      </c>
      <c r="B55" s="1" t="s">
        <v>10</v>
      </c>
      <c r="C55" s="2">
        <v>331224.25207096693</v>
      </c>
      <c r="D55" s="2">
        <v>54871.787847661653</v>
      </c>
      <c r="E55" s="2">
        <v>493104.06991277827</v>
      </c>
      <c r="F55" s="2">
        <v>386096.03991862858</v>
      </c>
      <c r="G55" s="2">
        <v>879200.10983140685</v>
      </c>
    </row>
    <row r="56" spans="1:7" x14ac:dyDescent="0.25">
      <c r="A56" s="1">
        <v>2017</v>
      </c>
      <c r="B56" s="1" t="s">
        <v>11</v>
      </c>
      <c r="C56" s="2">
        <v>599242.72541358578</v>
      </c>
      <c r="D56" s="2">
        <v>90188.981367071188</v>
      </c>
      <c r="E56" s="2">
        <v>328693.46695480472</v>
      </c>
      <c r="F56" s="2">
        <v>689431.70678065694</v>
      </c>
      <c r="G56" s="2">
        <v>1018125.1737354617</v>
      </c>
    </row>
    <row r="57" spans="1:7" x14ac:dyDescent="0.25">
      <c r="A57" s="1">
        <v>2017</v>
      </c>
      <c r="B57" s="1" t="s">
        <v>12</v>
      </c>
      <c r="C57" s="2">
        <v>445252.11852526345</v>
      </c>
      <c r="D57" s="2">
        <v>40558.759758939435</v>
      </c>
      <c r="E57" s="2">
        <v>186922.37903258915</v>
      </c>
      <c r="F57" s="2">
        <v>485810.87828420289</v>
      </c>
      <c r="G57" s="2">
        <v>672733.25731679203</v>
      </c>
    </row>
    <row r="58" spans="1:7" x14ac:dyDescent="0.25">
      <c r="A58" s="1">
        <v>2017</v>
      </c>
      <c r="B58" s="1" t="s">
        <v>13</v>
      </c>
      <c r="C58" s="2">
        <v>493350.85113562102</v>
      </c>
      <c r="D58" s="2">
        <v>20433.862304106158</v>
      </c>
      <c r="E58" s="2">
        <v>170956.6018829915</v>
      </c>
      <c r="F58" s="2">
        <v>513784.7134397272</v>
      </c>
      <c r="G58" s="2">
        <v>684741.3153227187</v>
      </c>
    </row>
    <row r="59" spans="1:7" x14ac:dyDescent="0.25">
      <c r="A59" s="1">
        <v>2017</v>
      </c>
      <c r="B59" s="1" t="s">
        <v>14</v>
      </c>
      <c r="C59" s="2">
        <v>662042.34779918997</v>
      </c>
      <c r="D59" s="2">
        <v>25643.633445944626</v>
      </c>
      <c r="E59" s="2">
        <v>214088.53552003438</v>
      </c>
      <c r="F59" s="2">
        <v>687685.98124513461</v>
      </c>
      <c r="G59" s="2">
        <v>901774.51676516898</v>
      </c>
    </row>
    <row r="60" spans="1:7" x14ac:dyDescent="0.25">
      <c r="A60" s="1">
        <v>2017</v>
      </c>
      <c r="B60" s="1" t="s">
        <v>15</v>
      </c>
      <c r="C60" s="2">
        <v>721336.20394204604</v>
      </c>
      <c r="D60" s="2">
        <v>19348.00302390974</v>
      </c>
      <c r="E60" s="2">
        <v>282035.79685219983</v>
      </c>
      <c r="F60" s="2">
        <v>740684.20696595579</v>
      </c>
      <c r="G60" s="2">
        <v>1022720.0038181556</v>
      </c>
    </row>
    <row r="61" spans="1:7" x14ac:dyDescent="0.25">
      <c r="A61" s="1">
        <v>2017</v>
      </c>
      <c r="B61" s="1" t="s">
        <v>16</v>
      </c>
      <c r="C61" s="2">
        <v>414836.41848180926</v>
      </c>
      <c r="D61" s="2">
        <v>6342.1436362824434</v>
      </c>
      <c r="E61" s="2">
        <v>431093.57383491268</v>
      </c>
      <c r="F61" s="2">
        <v>421178.56211809168</v>
      </c>
      <c r="G61" s="2">
        <v>852272.13595300436</v>
      </c>
    </row>
    <row r="62" spans="1:7" x14ac:dyDescent="0.25">
      <c r="A62" s="1">
        <v>2018</v>
      </c>
      <c r="B62" s="1" t="s">
        <v>8</v>
      </c>
      <c r="C62" s="2">
        <v>36038.435494957805</v>
      </c>
      <c r="D62" s="2">
        <v>307.85497490611289</v>
      </c>
      <c r="E62" s="2">
        <v>343157.74931659462</v>
      </c>
      <c r="F62" s="2">
        <v>36346.290469863918</v>
      </c>
      <c r="G62" s="2">
        <v>379504.03978645854</v>
      </c>
    </row>
    <row r="63" spans="1:7" x14ac:dyDescent="0.25">
      <c r="A63" s="1">
        <v>2018</v>
      </c>
      <c r="B63" s="1" t="s">
        <v>9</v>
      </c>
      <c r="C63" s="2">
        <v>136362.33553532819</v>
      </c>
      <c r="D63" s="2">
        <v>2312.2746990230194</v>
      </c>
      <c r="E63" s="2">
        <v>414578.86927385069</v>
      </c>
      <c r="F63" s="2">
        <v>138674.61023435122</v>
      </c>
      <c r="G63" s="2">
        <v>553253.47950820194</v>
      </c>
    </row>
    <row r="64" spans="1:7" x14ac:dyDescent="0.25">
      <c r="A64" s="1">
        <v>2018</v>
      </c>
      <c r="B64" s="1" t="s">
        <v>10</v>
      </c>
      <c r="C64" s="2">
        <v>307284.1172855199</v>
      </c>
      <c r="D64" s="2">
        <v>35106.646008471173</v>
      </c>
      <c r="E64" s="2">
        <v>463560.24200496741</v>
      </c>
      <c r="F64" s="2">
        <v>342390.7632939911</v>
      </c>
      <c r="G64" s="2">
        <v>805951.00529895851</v>
      </c>
    </row>
    <row r="65" spans="1:7" x14ac:dyDescent="0.25">
      <c r="A65" s="1">
        <v>2018</v>
      </c>
      <c r="B65" s="1" t="s">
        <v>11</v>
      </c>
      <c r="C65" s="2">
        <v>653214.06433744635</v>
      </c>
      <c r="D65" s="2">
        <v>83699.370776100986</v>
      </c>
      <c r="E65" s="2">
        <v>325657.86550523853</v>
      </c>
      <c r="F65" s="2">
        <v>736913.43511354737</v>
      </c>
      <c r="G65" s="2">
        <v>1062571.3006187859</v>
      </c>
    </row>
    <row r="66" spans="1:7" x14ac:dyDescent="0.25">
      <c r="A66" s="1">
        <v>2018</v>
      </c>
      <c r="B66" s="1" t="s">
        <v>12</v>
      </c>
      <c r="C66" s="2">
        <v>478492.73885909026</v>
      </c>
      <c r="D66" s="2">
        <v>41385.002544105337</v>
      </c>
      <c r="E66" s="2">
        <v>157205.71239177539</v>
      </c>
      <c r="F66" s="2">
        <v>519877.7414031956</v>
      </c>
      <c r="G66" s="2">
        <v>677083.45379497099</v>
      </c>
    </row>
    <row r="67" spans="1:7" x14ac:dyDescent="0.25">
      <c r="A67" s="1">
        <v>2018</v>
      </c>
      <c r="B67" s="1" t="s">
        <v>13</v>
      </c>
      <c r="C67" s="2">
        <v>517881.17598598677</v>
      </c>
      <c r="D67" s="2">
        <v>31193.641007391878</v>
      </c>
      <c r="E67" s="2">
        <v>156025.07882996602</v>
      </c>
      <c r="F67" s="2">
        <v>549074.81699337868</v>
      </c>
      <c r="G67" s="2">
        <v>705099.8958233447</v>
      </c>
    </row>
    <row r="68" spans="1:7" x14ac:dyDescent="0.25">
      <c r="A68" s="1">
        <v>2018</v>
      </c>
      <c r="B68" s="1" t="s">
        <v>14</v>
      </c>
      <c r="C68" s="2">
        <v>696933.11893512169</v>
      </c>
      <c r="D68" s="2">
        <v>22080.866208442974</v>
      </c>
      <c r="E68" s="2">
        <v>207579.4203452341</v>
      </c>
      <c r="F68" s="2">
        <v>719013.98514356464</v>
      </c>
      <c r="G68" s="2">
        <v>926593.40548879874</v>
      </c>
    </row>
    <row r="69" spans="1:7" x14ac:dyDescent="0.25">
      <c r="A69" s="1">
        <v>2018</v>
      </c>
      <c r="B69" s="1" t="s">
        <v>15</v>
      </c>
      <c r="C69" s="2">
        <v>818486.93376432906</v>
      </c>
      <c r="D69" s="2">
        <v>20670.528072567515</v>
      </c>
      <c r="E69" s="2">
        <v>281567.97425356717</v>
      </c>
      <c r="F69" s="2">
        <v>839157.4618368966</v>
      </c>
      <c r="G69" s="2">
        <v>1120725.4360904638</v>
      </c>
    </row>
    <row r="70" spans="1:7" x14ac:dyDescent="0.25">
      <c r="A70" s="1">
        <v>2018</v>
      </c>
      <c r="B70" s="1" t="s">
        <v>16</v>
      </c>
      <c r="C70" s="2">
        <v>445958.47493771795</v>
      </c>
      <c r="D70" s="2">
        <v>8970.312273092879</v>
      </c>
      <c r="E70" s="2">
        <v>493465.68552930839</v>
      </c>
      <c r="F70" s="2">
        <v>454928.78721081081</v>
      </c>
      <c r="G70" s="2">
        <v>948394.47274011921</v>
      </c>
    </row>
    <row r="71" spans="1:7" x14ac:dyDescent="0.25">
      <c r="A71" s="1">
        <v>2019</v>
      </c>
      <c r="B71" s="1" t="s">
        <v>8</v>
      </c>
      <c r="C71" s="2">
        <v>28275.016353748942</v>
      </c>
      <c r="D71" s="2">
        <v>0</v>
      </c>
      <c r="E71" s="2">
        <v>341037.79439371335</v>
      </c>
      <c r="F71" s="2">
        <v>28275.016353748942</v>
      </c>
      <c r="G71" s="2">
        <v>369312.81074746227</v>
      </c>
    </row>
    <row r="72" spans="1:7" x14ac:dyDescent="0.25">
      <c r="A72" s="1">
        <v>2019</v>
      </c>
      <c r="B72" s="1" t="s">
        <v>9</v>
      </c>
      <c r="C72" s="2">
        <v>117419.17176546837</v>
      </c>
      <c r="D72" s="2">
        <v>319.66331448596753</v>
      </c>
      <c r="E72" s="2">
        <v>438741.8833900023</v>
      </c>
      <c r="F72" s="2">
        <v>117738.83507995434</v>
      </c>
      <c r="G72" s="2">
        <v>556480.71846995666</v>
      </c>
    </row>
    <row r="73" spans="1:7" x14ac:dyDescent="0.25">
      <c r="A73" s="1">
        <v>2019</v>
      </c>
      <c r="B73" s="1" t="s">
        <v>10</v>
      </c>
      <c r="C73" s="2">
        <v>290743.18552673206</v>
      </c>
      <c r="D73" s="2">
        <v>29029.509402011103</v>
      </c>
      <c r="E73" s="2">
        <v>494977.76388503006</v>
      </c>
      <c r="F73" s="2">
        <v>319772.69492874318</v>
      </c>
      <c r="G73" s="2">
        <v>814750.45881377324</v>
      </c>
    </row>
    <row r="74" spans="1:7" x14ac:dyDescent="0.25">
      <c r="A74" s="1">
        <v>2019</v>
      </c>
      <c r="B74" s="1" t="s">
        <v>11</v>
      </c>
      <c r="C74" s="2">
        <v>617607.52136567107</v>
      </c>
      <c r="D74" s="2">
        <v>86154.373382823382</v>
      </c>
      <c r="E74" s="2">
        <v>377801.66759570152</v>
      </c>
      <c r="F74" s="2">
        <v>703761.89474849449</v>
      </c>
      <c r="G74" s="2">
        <v>1081563.562344196</v>
      </c>
    </row>
    <row r="75" spans="1:7" x14ac:dyDescent="0.25">
      <c r="A75" s="1">
        <v>2019</v>
      </c>
      <c r="B75" s="1" t="s">
        <v>12</v>
      </c>
      <c r="C75" s="2">
        <v>462506.21433688054</v>
      </c>
      <c r="D75" s="2">
        <v>41621.011753518847</v>
      </c>
      <c r="E75" s="2">
        <v>190264.69415194535</v>
      </c>
      <c r="F75" s="2">
        <v>504127.22609039937</v>
      </c>
      <c r="G75" s="2">
        <v>694391.92024234473</v>
      </c>
    </row>
    <row r="76" spans="1:7" x14ac:dyDescent="0.25">
      <c r="A76" s="1">
        <v>2019</v>
      </c>
      <c r="B76" s="1" t="s">
        <v>13</v>
      </c>
      <c r="C76" s="2">
        <v>498540.92555294355</v>
      </c>
      <c r="D76" s="2">
        <v>32593.858942356448</v>
      </c>
      <c r="E76" s="2">
        <v>167584.92995274556</v>
      </c>
      <c r="F76" s="2">
        <v>531134.78449530003</v>
      </c>
      <c r="G76" s="2">
        <v>698719.71444804559</v>
      </c>
    </row>
    <row r="77" spans="1:7" x14ac:dyDescent="0.25">
      <c r="A77" s="1">
        <v>2019</v>
      </c>
      <c r="B77" s="1" t="s">
        <v>14</v>
      </c>
      <c r="C77" s="2">
        <v>677386.73290068621</v>
      </c>
      <c r="D77" s="2">
        <v>28036.281043276671</v>
      </c>
      <c r="E77" s="2">
        <v>224786.95527345326</v>
      </c>
      <c r="F77" s="2">
        <v>705423.01394396287</v>
      </c>
      <c r="G77" s="2">
        <v>930209.96921741613</v>
      </c>
    </row>
    <row r="78" spans="1:7" x14ac:dyDescent="0.25">
      <c r="A78" s="1">
        <v>2019</v>
      </c>
      <c r="B78" s="1" t="s">
        <v>15</v>
      </c>
      <c r="C78" s="2">
        <v>832247.03655206109</v>
      </c>
      <c r="D78" s="2">
        <v>17750.575102563722</v>
      </c>
      <c r="E78" s="2">
        <v>338079.2327467571</v>
      </c>
      <c r="F78" s="2">
        <v>849997.61165462481</v>
      </c>
      <c r="G78" s="2">
        <v>1188076.8444013819</v>
      </c>
    </row>
    <row r="79" spans="1:7" x14ac:dyDescent="0.25">
      <c r="A79" s="1">
        <v>2019</v>
      </c>
      <c r="B79" s="1" t="s">
        <v>16</v>
      </c>
      <c r="C79" s="2">
        <v>455035.63650664943</v>
      </c>
      <c r="D79" s="2">
        <v>5027.4960781405789</v>
      </c>
      <c r="E79" s="2">
        <v>566497.57387232687</v>
      </c>
      <c r="F79" s="2">
        <v>460063.13258479</v>
      </c>
      <c r="G79" s="2">
        <v>1026560.7064571169</v>
      </c>
    </row>
    <row r="80" spans="1:7" x14ac:dyDescent="0.25">
      <c r="A80" s="1">
        <v>2020</v>
      </c>
      <c r="B80" s="1" t="s">
        <v>10</v>
      </c>
      <c r="C80" s="2">
        <v>254628.93218420021</v>
      </c>
      <c r="D80" s="2">
        <v>44705.124664477502</v>
      </c>
      <c r="E80" s="2">
        <v>424731.49529209652</v>
      </c>
      <c r="F80" s="2">
        <v>299334.05684867769</v>
      </c>
      <c r="G80" s="2">
        <v>724065.55214077421</v>
      </c>
    </row>
    <row r="81" spans="1:7" x14ac:dyDescent="0.25">
      <c r="A81" s="1">
        <v>2020</v>
      </c>
      <c r="B81" s="1" t="s">
        <v>11</v>
      </c>
      <c r="C81" s="2">
        <v>509832.38449014031</v>
      </c>
      <c r="D81" s="2">
        <v>119893.58475885069</v>
      </c>
      <c r="E81" s="2">
        <v>371035.81291833101</v>
      </c>
      <c r="F81" s="2">
        <v>629725.96924899099</v>
      </c>
      <c r="G81" s="2">
        <v>1000761.782167322</v>
      </c>
    </row>
    <row r="82" spans="1:7" x14ac:dyDescent="0.25">
      <c r="A82" s="1">
        <v>2020</v>
      </c>
      <c r="B82" s="1" t="s">
        <v>12</v>
      </c>
      <c r="C82" s="2">
        <v>414376.83530748513</v>
      </c>
      <c r="D82" s="2">
        <v>66798.775686120483</v>
      </c>
      <c r="E82" s="2">
        <v>196332.41008666024</v>
      </c>
      <c r="F82" s="2">
        <v>481175.61099360563</v>
      </c>
      <c r="G82" s="2">
        <v>677508.02108026587</v>
      </c>
    </row>
    <row r="83" spans="1:7" x14ac:dyDescent="0.25">
      <c r="A83" s="1">
        <v>2020</v>
      </c>
      <c r="B83" s="1" t="s">
        <v>42</v>
      </c>
      <c r="C83" s="2">
        <v>392086.99931037962</v>
      </c>
      <c r="D83" s="2">
        <v>41434.700977747729</v>
      </c>
      <c r="E83" s="2">
        <v>202014.0164036635</v>
      </c>
      <c r="F83" s="2">
        <v>433521.70028812735</v>
      </c>
      <c r="G83" s="2">
        <v>635535.71669179085</v>
      </c>
    </row>
    <row r="84" spans="1:7" x14ac:dyDescent="0.25">
      <c r="A84" s="1">
        <v>2020</v>
      </c>
      <c r="B84" s="1" t="s">
        <v>43</v>
      </c>
      <c r="C84" s="2">
        <v>363051.3802640111</v>
      </c>
      <c r="D84" s="2">
        <v>41576.264552293738</v>
      </c>
      <c r="E84" s="2">
        <v>183706.08181550744</v>
      </c>
      <c r="F84" s="2">
        <v>404627.64481630485</v>
      </c>
      <c r="G84" s="2">
        <v>588333.72663181229</v>
      </c>
    </row>
    <row r="85" spans="1:7" x14ac:dyDescent="0.25">
      <c r="A85" s="1">
        <v>2020</v>
      </c>
      <c r="B85" s="1" t="s">
        <v>44</v>
      </c>
      <c r="C85" s="2">
        <v>368630.45056857675</v>
      </c>
      <c r="D85" s="2">
        <v>45443.546434308046</v>
      </c>
      <c r="E85" s="2">
        <v>182350.26214510627</v>
      </c>
      <c r="F85" s="2">
        <v>414073.9970028848</v>
      </c>
      <c r="G85" s="2">
        <v>596424.25914799108</v>
      </c>
    </row>
    <row r="86" spans="1:7" x14ac:dyDescent="0.25">
      <c r="A86" s="1">
        <v>2020</v>
      </c>
      <c r="B86" s="1" t="s">
        <v>45</v>
      </c>
      <c r="C86" s="2">
        <v>328265.31866514462</v>
      </c>
      <c r="D86" s="2">
        <v>16896.861781264299</v>
      </c>
      <c r="E86" s="2">
        <v>144848.60271516256</v>
      </c>
      <c r="F86" s="2">
        <v>345162.18044640892</v>
      </c>
      <c r="G86" s="2">
        <v>490010.78316157148</v>
      </c>
    </row>
    <row r="87" spans="1:7" x14ac:dyDescent="0.25">
      <c r="A87" s="1">
        <v>2020</v>
      </c>
      <c r="B87" s="1" t="s">
        <v>46</v>
      </c>
      <c r="C87" s="2">
        <v>299289.70975131518</v>
      </c>
      <c r="D87" s="2">
        <v>20679.661038895087</v>
      </c>
      <c r="E87" s="2">
        <v>155064.52039241994</v>
      </c>
      <c r="F87" s="2">
        <v>319969.37079021026</v>
      </c>
      <c r="G87" s="2">
        <v>475033.89118263021</v>
      </c>
    </row>
    <row r="88" spans="1:7" x14ac:dyDescent="0.25">
      <c r="A88" s="1">
        <v>2020</v>
      </c>
      <c r="B88" s="1" t="s">
        <v>47</v>
      </c>
      <c r="C88" s="2">
        <v>231783.0868769777</v>
      </c>
      <c r="D88" s="2">
        <v>14998.427737583143</v>
      </c>
      <c r="E88" s="2">
        <v>165672.89339861591</v>
      </c>
      <c r="F88" s="2">
        <v>246781.51461456085</v>
      </c>
      <c r="G88" s="2">
        <v>412454.40801317676</v>
      </c>
    </row>
    <row r="89" spans="1:7" x14ac:dyDescent="0.25">
      <c r="A89" s="1">
        <v>2020</v>
      </c>
      <c r="B89" s="1" t="s">
        <v>48</v>
      </c>
      <c r="C89" s="2">
        <v>172320.11690158286</v>
      </c>
      <c r="D89" s="2">
        <v>13119.033521240763</v>
      </c>
      <c r="E89" s="2">
        <v>192491.06576424767</v>
      </c>
      <c r="F89" s="2">
        <v>185439.15042282362</v>
      </c>
      <c r="G89" s="2">
        <v>377930.21618707129</v>
      </c>
    </row>
    <row r="90" spans="1:7" x14ac:dyDescent="0.25">
      <c r="A90" s="1">
        <v>2020</v>
      </c>
      <c r="B90" s="1" t="s">
        <v>49</v>
      </c>
      <c r="C90" s="2">
        <v>321388.0389304838</v>
      </c>
      <c r="D90" s="2">
        <v>22228.092070832419</v>
      </c>
      <c r="E90" s="2">
        <v>586969.17819889786</v>
      </c>
      <c r="F90" s="2">
        <v>343616.13100131624</v>
      </c>
      <c r="G90" s="2">
        <v>930585.30920021411</v>
      </c>
    </row>
    <row r="91" spans="1:7" x14ac:dyDescent="0.25">
      <c r="A91" s="1">
        <v>2021</v>
      </c>
      <c r="B91" s="1" t="s">
        <v>10</v>
      </c>
      <c r="C91" s="2">
        <v>305528.2468796848</v>
      </c>
      <c r="D91" s="2">
        <v>47746.629834068328</v>
      </c>
      <c r="E91" s="2">
        <v>453222.77036448778</v>
      </c>
      <c r="F91" s="2">
        <v>353274.8767137531</v>
      </c>
      <c r="G91" s="2">
        <v>806497.64707824087</v>
      </c>
    </row>
    <row r="92" spans="1:7" x14ac:dyDescent="0.25">
      <c r="A92" s="1">
        <v>2021</v>
      </c>
      <c r="B92" s="1" t="s">
        <v>11</v>
      </c>
      <c r="C92" s="2">
        <v>640834.64463102096</v>
      </c>
      <c r="D92" s="2">
        <v>111544.06356255292</v>
      </c>
      <c r="E92" s="2">
        <v>399717.62682231516</v>
      </c>
      <c r="F92" s="2">
        <v>752378.70819357387</v>
      </c>
      <c r="G92" s="2">
        <v>1152096.335015889</v>
      </c>
    </row>
    <row r="93" spans="1:7" x14ac:dyDescent="0.25">
      <c r="A93" s="1">
        <v>2021</v>
      </c>
      <c r="B93" s="1" t="s">
        <v>12</v>
      </c>
      <c r="C93" s="2">
        <v>428155.59700659342</v>
      </c>
      <c r="D93" s="2">
        <v>49340.222517476272</v>
      </c>
      <c r="E93" s="2">
        <v>199537.56447541795</v>
      </c>
      <c r="F93" s="2">
        <v>477495.81952406967</v>
      </c>
      <c r="G93" s="2">
        <v>677033.38399948762</v>
      </c>
    </row>
    <row r="94" spans="1:7" x14ac:dyDescent="0.25">
      <c r="A94" s="1">
        <v>2021</v>
      </c>
      <c r="B94" s="1" t="s">
        <v>13</v>
      </c>
      <c r="C94" s="2">
        <v>501089.41661658825</v>
      </c>
      <c r="D94" s="2">
        <v>34148.417796908579</v>
      </c>
      <c r="E94" s="2">
        <v>193269.69196061813</v>
      </c>
      <c r="F94" s="2">
        <v>535237.83441349678</v>
      </c>
      <c r="G94" s="2">
        <v>728507.52637411491</v>
      </c>
    </row>
    <row r="95" spans="1:7" x14ac:dyDescent="0.25">
      <c r="A95" s="1">
        <v>2021</v>
      </c>
      <c r="B95" s="1" t="s">
        <v>14</v>
      </c>
      <c r="C95" s="2">
        <v>707711.90434474812</v>
      </c>
      <c r="D95" s="2">
        <v>46160.640099318873</v>
      </c>
      <c r="E95" s="2">
        <v>271121.72844873462</v>
      </c>
      <c r="F95" s="2">
        <v>753872.54444406694</v>
      </c>
      <c r="G95" s="2">
        <v>1024994.2728928016</v>
      </c>
    </row>
    <row r="96" spans="1:7" x14ac:dyDescent="0.25">
      <c r="A96" s="1">
        <v>2021</v>
      </c>
      <c r="B96" s="1" t="s">
        <v>15</v>
      </c>
      <c r="C96" s="2">
        <v>761062.22074931487</v>
      </c>
      <c r="D96" s="2">
        <v>32602.629628461091</v>
      </c>
      <c r="E96" s="2">
        <v>414952.27276520827</v>
      </c>
      <c r="F96" s="2">
        <v>793664.85037777596</v>
      </c>
      <c r="G96" s="2">
        <v>1208617.1231429842</v>
      </c>
    </row>
    <row r="97" spans="1:7" x14ac:dyDescent="0.25">
      <c r="A97" s="1">
        <v>2021</v>
      </c>
      <c r="B97" s="1" t="s">
        <v>16</v>
      </c>
      <c r="C97" s="2">
        <v>377987.51337250037</v>
      </c>
      <c r="D97" s="2">
        <v>27315.098096447793</v>
      </c>
      <c r="E97" s="2">
        <v>701620.7050633945</v>
      </c>
      <c r="F97" s="2">
        <v>405302.61146894819</v>
      </c>
      <c r="G97" s="2">
        <v>1106923.3165323427</v>
      </c>
    </row>
    <row r="98" spans="1:7" x14ac:dyDescent="0.25">
      <c r="A98" s="1">
        <v>2022</v>
      </c>
      <c r="B98" s="1" t="s">
        <v>10</v>
      </c>
      <c r="C98" s="2">
        <v>255368.46854709892</v>
      </c>
      <c r="D98" s="2">
        <v>35855.788675218027</v>
      </c>
      <c r="E98" s="2">
        <v>449529.11307319708</v>
      </c>
      <c r="F98" s="2">
        <v>291224.25722231693</v>
      </c>
      <c r="G98" s="2">
        <v>740753.370295514</v>
      </c>
    </row>
    <row r="99" spans="1:7" x14ac:dyDescent="0.25">
      <c r="A99" s="1">
        <v>2022</v>
      </c>
      <c r="B99" s="1" t="s">
        <v>11</v>
      </c>
      <c r="C99" s="2">
        <v>599848.34124789305</v>
      </c>
      <c r="D99" s="2">
        <v>103254.7676388587</v>
      </c>
      <c r="E99" s="2">
        <v>387423.02122966247</v>
      </c>
      <c r="F99" s="2">
        <v>703103.10888675181</v>
      </c>
      <c r="G99" s="2">
        <v>1090526.1301164143</v>
      </c>
    </row>
    <row r="100" spans="1:7" x14ac:dyDescent="0.25">
      <c r="A100" s="1">
        <v>2022</v>
      </c>
      <c r="B100" s="1" t="s">
        <v>12</v>
      </c>
      <c r="C100" s="2">
        <v>465700.00663982151</v>
      </c>
      <c r="D100" s="2">
        <v>59671.834061427871</v>
      </c>
      <c r="E100" s="2">
        <v>232757.07444290491</v>
      </c>
      <c r="F100" s="2">
        <v>525371.84070124943</v>
      </c>
      <c r="G100" s="2">
        <v>758128.91514415434</v>
      </c>
    </row>
    <row r="101" spans="1:7" x14ac:dyDescent="0.25">
      <c r="A101" s="1">
        <v>2022</v>
      </c>
      <c r="B101" s="1" t="s">
        <v>13</v>
      </c>
      <c r="C101" s="2">
        <v>510352.53241076373</v>
      </c>
      <c r="D101" s="2">
        <v>43122.351557289483</v>
      </c>
      <c r="E101" s="2">
        <v>194441.98220149986</v>
      </c>
      <c r="F101" s="2">
        <v>553474.88396805315</v>
      </c>
      <c r="G101" s="2">
        <v>747916.86616955302</v>
      </c>
    </row>
    <row r="102" spans="1:7" x14ac:dyDescent="0.25">
      <c r="A102" s="1">
        <v>2022</v>
      </c>
      <c r="B102" s="1" t="s">
        <v>14</v>
      </c>
      <c r="C102" s="2">
        <v>660853.6202575675</v>
      </c>
      <c r="D102" s="2">
        <v>51878.572160090611</v>
      </c>
      <c r="E102" s="2">
        <v>297512.37808669824</v>
      </c>
      <c r="F102" s="2">
        <v>712732.19241765817</v>
      </c>
      <c r="G102" s="2">
        <v>1010244.5705043564</v>
      </c>
    </row>
    <row r="103" spans="1:7" x14ac:dyDescent="0.25">
      <c r="A103" s="1">
        <v>2022</v>
      </c>
      <c r="B103" s="1" t="s">
        <v>15</v>
      </c>
      <c r="C103" s="2">
        <v>767173.35549704754</v>
      </c>
      <c r="D103" s="2">
        <v>46457.872266738501</v>
      </c>
      <c r="E103" s="2">
        <v>446000.1330034358</v>
      </c>
      <c r="F103" s="2">
        <v>813631.22776378598</v>
      </c>
      <c r="G103" s="2">
        <v>1259631.3607672218</v>
      </c>
    </row>
    <row r="104" spans="1:7" x14ac:dyDescent="0.25">
      <c r="A104" s="1">
        <v>2022</v>
      </c>
      <c r="B104" s="1" t="s">
        <v>16</v>
      </c>
      <c r="C104" s="2">
        <v>370662.6906313448</v>
      </c>
      <c r="D104" s="2">
        <v>16186.884883647817</v>
      </c>
      <c r="E104" s="2">
        <v>801462.41747089173</v>
      </c>
      <c r="F104" s="2">
        <v>386849.57551499264</v>
      </c>
      <c r="G104" s="2">
        <v>1188311.9929858844</v>
      </c>
    </row>
    <row r="105" spans="1:7" x14ac:dyDescent="0.25">
      <c r="A105" s="1">
        <v>2023</v>
      </c>
      <c r="B105" s="1" t="s">
        <v>10</v>
      </c>
      <c r="C105" s="2">
        <v>212910.31556963114</v>
      </c>
      <c r="D105" s="2">
        <v>31869.096885707098</v>
      </c>
      <c r="E105" s="2">
        <v>487700.84630282834</v>
      </c>
      <c r="F105" s="2">
        <v>244779.41245533823</v>
      </c>
      <c r="G105" s="2">
        <v>732480.25875816657</v>
      </c>
    </row>
    <row r="106" spans="1:7" x14ac:dyDescent="0.25">
      <c r="A106" s="1">
        <v>2023</v>
      </c>
      <c r="B106" s="1" t="s">
        <v>11</v>
      </c>
      <c r="C106" s="2">
        <v>551842.01519607229</v>
      </c>
      <c r="D106" s="2">
        <v>66732.902740233927</v>
      </c>
      <c r="E106" s="2">
        <v>407132.25532651215</v>
      </c>
      <c r="F106" s="2">
        <v>618574.91793630621</v>
      </c>
      <c r="G106" s="2">
        <v>1025707.1732628184</v>
      </c>
    </row>
    <row r="107" spans="1:7" x14ac:dyDescent="0.25">
      <c r="A107" s="1">
        <v>2023</v>
      </c>
      <c r="B107" s="1" t="s">
        <v>12</v>
      </c>
      <c r="C107" s="2">
        <v>387972.64488687651</v>
      </c>
      <c r="D107" s="2">
        <v>46171.862081246007</v>
      </c>
      <c r="E107" s="2">
        <v>221599.63473142957</v>
      </c>
      <c r="F107" s="2">
        <v>434144.5069681225</v>
      </c>
      <c r="G107" s="2">
        <v>655744.14169955207</v>
      </c>
    </row>
    <row r="108" spans="1:7" x14ac:dyDescent="0.25">
      <c r="A108" s="1">
        <v>2023</v>
      </c>
      <c r="B108" s="1" t="s">
        <v>13</v>
      </c>
      <c r="C108" s="2">
        <v>486541.61235376401</v>
      </c>
      <c r="D108" s="2">
        <v>36135.544425851949</v>
      </c>
      <c r="E108" s="2">
        <v>226842.13744363253</v>
      </c>
      <c r="F108" s="2">
        <v>522677.15677961597</v>
      </c>
      <c r="G108" s="2">
        <v>749519.29422324849</v>
      </c>
    </row>
    <row r="109" spans="1:7" x14ac:dyDescent="0.25">
      <c r="A109" s="1">
        <v>2023</v>
      </c>
      <c r="B109" s="1" t="s">
        <v>14</v>
      </c>
      <c r="C109" s="2">
        <v>705472.37923623994</v>
      </c>
      <c r="D109" s="2">
        <v>30389.461322279509</v>
      </c>
      <c r="E109" s="2">
        <v>341608.69249586051</v>
      </c>
      <c r="F109" s="2">
        <v>735861.84055851947</v>
      </c>
      <c r="G109" s="2">
        <v>1077470.53305438</v>
      </c>
    </row>
    <row r="110" spans="1:7" x14ac:dyDescent="0.25">
      <c r="A110" s="1">
        <v>2023</v>
      </c>
      <c r="B110" s="1" t="s">
        <v>15</v>
      </c>
      <c r="C110" s="2">
        <v>849322.82634021994</v>
      </c>
      <c r="D110" s="2">
        <v>30349.272028381871</v>
      </c>
      <c r="E110" s="2">
        <v>507984.80361021811</v>
      </c>
      <c r="F110" s="2">
        <v>879672.09836860176</v>
      </c>
      <c r="G110" s="2">
        <v>1387656.9019788199</v>
      </c>
    </row>
    <row r="111" spans="1:7" x14ac:dyDescent="0.25">
      <c r="A111" s="1">
        <v>2023</v>
      </c>
      <c r="B111" s="1" t="s">
        <v>16</v>
      </c>
      <c r="C111" s="2">
        <v>445030.4884866756</v>
      </c>
      <c r="D111" s="2">
        <v>9019.8132247518952</v>
      </c>
      <c r="E111" s="2">
        <v>873205.54689338943</v>
      </c>
      <c r="F111" s="2">
        <v>454050.30171142751</v>
      </c>
      <c r="G111" s="2">
        <v>1327255.8486048169</v>
      </c>
    </row>
    <row r="112" spans="1:7" x14ac:dyDescent="0.25">
      <c r="A112" s="1">
        <v>2024</v>
      </c>
      <c r="B112" s="1" t="s">
        <v>10</v>
      </c>
      <c r="C112" s="2">
        <v>220729.05475633583</v>
      </c>
      <c r="D112" s="2">
        <v>18546.03477367384</v>
      </c>
      <c r="E112" s="2">
        <v>526856.21342656657</v>
      </c>
      <c r="F112" s="2">
        <v>239275.08953000966</v>
      </c>
      <c r="G112" s="2">
        <v>766131.30295657623</v>
      </c>
    </row>
    <row r="113" spans="1:7" x14ac:dyDescent="0.25">
      <c r="A113" s="1">
        <v>2024</v>
      </c>
      <c r="B113" s="1" t="s">
        <v>11</v>
      </c>
      <c r="C113" s="2">
        <v>499673.61229551601</v>
      </c>
      <c r="D113" s="2">
        <v>58554.013221416855</v>
      </c>
      <c r="E113" s="2">
        <v>405180.64035075728</v>
      </c>
      <c r="F113" s="2">
        <v>558227.62551693292</v>
      </c>
      <c r="G113" s="2">
        <v>963408.26586769021</v>
      </c>
    </row>
    <row r="114" spans="1:7" x14ac:dyDescent="0.25">
      <c r="A114" s="1">
        <v>2024</v>
      </c>
      <c r="B114" s="1" t="s">
        <v>12</v>
      </c>
      <c r="C114" s="2">
        <v>473682.33093684685</v>
      </c>
      <c r="D114" s="2">
        <v>33917.7931855508</v>
      </c>
      <c r="E114" s="2">
        <v>228254.42130455701</v>
      </c>
      <c r="F114" s="2">
        <v>507600.12412239762</v>
      </c>
      <c r="G114" s="2">
        <v>735854.54542695463</v>
      </c>
    </row>
    <row r="115" spans="1:7" x14ac:dyDescent="0.25">
      <c r="A115" s="1">
        <v>2024</v>
      </c>
      <c r="B115" s="1" t="s">
        <v>13</v>
      </c>
      <c r="C115" s="2">
        <v>509720.69002337399</v>
      </c>
      <c r="D115" s="2">
        <v>27913.386374027017</v>
      </c>
      <c r="E115" s="2">
        <v>227433.66765707429</v>
      </c>
      <c r="F115" s="2">
        <v>537634.07639740105</v>
      </c>
      <c r="G115" s="2">
        <v>765067.74405447533</v>
      </c>
    </row>
    <row r="116" spans="1:7" x14ac:dyDescent="0.25">
      <c r="A116" s="1">
        <v>2024</v>
      </c>
      <c r="B116" s="1" t="s">
        <v>14</v>
      </c>
      <c r="C116" s="2">
        <v>703098.4399154752</v>
      </c>
      <c r="D116" s="2">
        <v>28840.846020606561</v>
      </c>
      <c r="E116" s="2">
        <v>305305.35075816698</v>
      </c>
      <c r="F116" s="2">
        <v>731939.28593608178</v>
      </c>
      <c r="G116" s="2">
        <v>1037244.6366942488</v>
      </c>
    </row>
    <row r="117" spans="1:7" x14ac:dyDescent="0.25">
      <c r="A117" s="1">
        <v>2024</v>
      </c>
      <c r="B117" s="1" t="s">
        <v>15</v>
      </c>
      <c r="C117" s="2">
        <v>876528.50208195578</v>
      </c>
      <c r="D117" s="2">
        <v>27827.164411913305</v>
      </c>
      <c r="E117" s="2">
        <v>487439.02242945379</v>
      </c>
      <c r="F117" s="2">
        <v>904355.66649386904</v>
      </c>
      <c r="G117" s="2">
        <v>1391794.6889233228</v>
      </c>
    </row>
    <row r="118" spans="1:7" x14ac:dyDescent="0.25">
      <c r="A118" s="1">
        <v>2024</v>
      </c>
      <c r="B118" s="1" t="s">
        <v>16</v>
      </c>
      <c r="C118" s="2">
        <v>441537.89884360012</v>
      </c>
      <c r="D118" s="2">
        <v>10374.14356450967</v>
      </c>
      <c r="E118" s="2">
        <v>935224.38820819207</v>
      </c>
      <c r="F118" s="2">
        <v>451912.04240810982</v>
      </c>
      <c r="G118" s="2">
        <v>1387136.430616302</v>
      </c>
    </row>
    <row r="119" spans="1:7" x14ac:dyDescent="0.25">
      <c r="A119" s="1">
        <v>2025</v>
      </c>
      <c r="B119" s="1" t="s">
        <v>10</v>
      </c>
      <c r="C119" s="2">
        <v>240753.67219712248</v>
      </c>
      <c r="D119" s="2">
        <v>19442.649384339351</v>
      </c>
      <c r="E119" s="2">
        <v>513615.48853078962</v>
      </c>
      <c r="F119" s="2">
        <v>260196.32158146182</v>
      </c>
      <c r="G119" s="2">
        <v>773811.81011225143</v>
      </c>
    </row>
    <row r="120" spans="1:7" x14ac:dyDescent="0.25">
      <c r="A120" s="1">
        <v>2025</v>
      </c>
      <c r="B120" s="1" t="s">
        <v>11</v>
      </c>
      <c r="C120" s="2">
        <v>529664.6116375695</v>
      </c>
      <c r="D120" s="2">
        <v>51333.766590933803</v>
      </c>
      <c r="E120" s="2">
        <v>355282.77755761112</v>
      </c>
      <c r="F120" s="2">
        <v>580998.37822850328</v>
      </c>
      <c r="G120" s="2">
        <v>936281.1557861144</v>
      </c>
    </row>
    <row r="121" spans="1:7" x14ac:dyDescent="0.25">
      <c r="A121" s="1">
        <v>2025</v>
      </c>
      <c r="B121" s="1" t="s">
        <v>12</v>
      </c>
      <c r="C121" s="2">
        <v>524497.46739631658</v>
      </c>
      <c r="D121" s="2">
        <v>43870.992767186704</v>
      </c>
      <c r="E121" s="2">
        <v>242091.33913136669</v>
      </c>
      <c r="F121" s="2">
        <v>568368.4601635033</v>
      </c>
      <c r="G121" s="2">
        <v>810459.79929487</v>
      </c>
    </row>
    <row r="122" spans="1:7" x14ac:dyDescent="0.25">
      <c r="A122" s="1">
        <v>2025</v>
      </c>
      <c r="B122" s="1" t="s">
        <v>13</v>
      </c>
      <c r="C122" s="2">
        <v>560680.4417767761</v>
      </c>
      <c r="D122" s="2">
        <v>33997.660703537054</v>
      </c>
      <c r="E122" s="2">
        <v>203759.1117659451</v>
      </c>
      <c r="F122" s="2">
        <v>594678.10248031316</v>
      </c>
      <c r="G122" s="2">
        <v>798437.21424625826</v>
      </c>
    </row>
    <row r="123" spans="1:7" x14ac:dyDescent="0.25">
      <c r="A123" s="1">
        <v>2025</v>
      </c>
      <c r="B123" s="1" t="s">
        <v>14</v>
      </c>
      <c r="C123" s="2">
        <v>727531.82551832392</v>
      </c>
      <c r="D123" s="2">
        <v>24580.270323252182</v>
      </c>
      <c r="E123" s="2">
        <v>307879.7702706689</v>
      </c>
      <c r="F123" s="2">
        <v>752112.09584157611</v>
      </c>
      <c r="G123" s="2">
        <v>1059991.866112245</v>
      </c>
    </row>
    <row r="124" spans="1:7" x14ac:dyDescent="0.25">
      <c r="A124" s="1">
        <v>2025</v>
      </c>
      <c r="B124" s="1" t="s">
        <v>15</v>
      </c>
      <c r="C124" s="2">
        <v>966592.03076584835</v>
      </c>
      <c r="D124" s="2">
        <v>29348.614109183403</v>
      </c>
      <c r="E124" s="2">
        <v>509078.76050644869</v>
      </c>
      <c r="F124" s="2">
        <v>995940.64487503178</v>
      </c>
      <c r="G124" s="2">
        <v>1505019.4053814805</v>
      </c>
    </row>
    <row r="125" spans="1:7" x14ac:dyDescent="0.25">
      <c r="A125" s="1">
        <v>2025</v>
      </c>
      <c r="B125" s="1" t="s">
        <v>16</v>
      </c>
      <c r="C125" s="2">
        <v>525695.30198941822</v>
      </c>
      <c r="D125" s="2">
        <v>8440.6864017872576</v>
      </c>
      <c r="E125" s="2">
        <v>945284.04733334621</v>
      </c>
      <c r="F125" s="2">
        <v>534135.98839120544</v>
      </c>
      <c r="G125" s="2">
        <v>1479420.0357245516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52A1-3DC1-4C6B-9372-B6753A6E1062}">
  <sheetPr>
    <tabColor theme="4" tint="-0.249977111117893"/>
  </sheetPr>
  <dimension ref="A1:G30"/>
  <sheetViews>
    <sheetView tabSelected="1" workbookViewId="0">
      <pane ySplit="2" topLeftCell="A3" activePane="bottomLeft" state="frozen"/>
      <selection pane="bottomLeft" activeCell="H1" sqref="H1:H1048576"/>
    </sheetView>
  </sheetViews>
  <sheetFormatPr baseColWidth="10" defaultRowHeight="15" x14ac:dyDescent="0.25"/>
  <cols>
    <col min="3" max="3" width="17.85546875" bestFit="1" customWidth="1"/>
    <col min="4" max="4" width="20.85546875" bestFit="1" customWidth="1"/>
    <col min="5" max="5" width="13.5703125" customWidth="1"/>
    <col min="6" max="6" width="24.28515625" customWidth="1"/>
    <col min="7" max="7" width="24.7109375" customWidth="1"/>
  </cols>
  <sheetData>
    <row r="1" spans="1:7" ht="42.75" customHeight="1" x14ac:dyDescent="0.25">
      <c r="A1" s="12"/>
      <c r="B1" s="12"/>
      <c r="C1" s="12"/>
      <c r="D1" s="12"/>
      <c r="E1" s="12" t="s">
        <v>50</v>
      </c>
      <c r="F1" s="12" t="s">
        <v>51</v>
      </c>
      <c r="G1" s="8" t="s">
        <v>52</v>
      </c>
    </row>
    <row r="2" spans="1:7" ht="45" x14ac:dyDescent="0.25">
      <c r="A2" s="12" t="s">
        <v>7</v>
      </c>
      <c r="B2" s="12" t="s">
        <v>6</v>
      </c>
      <c r="C2" s="12" t="s">
        <v>1</v>
      </c>
      <c r="D2" s="12" t="s">
        <v>2</v>
      </c>
      <c r="E2" s="12" t="s">
        <v>3</v>
      </c>
      <c r="F2" s="8" t="s">
        <v>53</v>
      </c>
      <c r="G2" s="8" t="s">
        <v>54</v>
      </c>
    </row>
    <row r="3" spans="1:7" x14ac:dyDescent="0.25">
      <c r="A3" s="1">
        <v>2012</v>
      </c>
      <c r="B3" s="1" t="s">
        <v>4</v>
      </c>
      <c r="C3" s="2">
        <v>1163325.7665658917</v>
      </c>
      <c r="D3" s="2">
        <v>24631.321135289505</v>
      </c>
      <c r="E3" s="2">
        <v>145253.50046758048</v>
      </c>
      <c r="F3" s="2">
        <v>1187957.0877011809</v>
      </c>
      <c r="G3" s="2">
        <v>1333210.5881687617</v>
      </c>
    </row>
    <row r="4" spans="1:7" x14ac:dyDescent="0.25">
      <c r="A4" s="1">
        <v>2012</v>
      </c>
      <c r="B4" s="1" t="s">
        <v>5</v>
      </c>
      <c r="C4" s="2">
        <v>708638.75875382486</v>
      </c>
      <c r="D4" s="2">
        <v>13573.130509373008</v>
      </c>
      <c r="E4" s="2">
        <v>893830.65201764752</v>
      </c>
      <c r="F4" s="2">
        <v>722211.8892631979</v>
      </c>
      <c r="G4" s="2">
        <v>1616042.5412808452</v>
      </c>
    </row>
    <row r="5" spans="1:7" x14ac:dyDescent="0.25">
      <c r="A5" s="1">
        <v>2013</v>
      </c>
      <c r="B5" s="1" t="s">
        <v>4</v>
      </c>
      <c r="C5" s="2">
        <v>1219182.2675985361</v>
      </c>
      <c r="D5" s="2">
        <v>27407.935439812401</v>
      </c>
      <c r="E5" s="2">
        <v>129612.18625470006</v>
      </c>
      <c r="F5" s="2">
        <v>1246590.2030383486</v>
      </c>
      <c r="G5" s="2">
        <v>1376202.3892930488</v>
      </c>
    </row>
    <row r="6" spans="1:7" x14ac:dyDescent="0.25">
      <c r="A6" s="1">
        <v>2013</v>
      </c>
      <c r="B6" s="1" t="s">
        <v>5</v>
      </c>
      <c r="C6" s="2">
        <v>821678.92579849891</v>
      </c>
      <c r="D6" s="2">
        <v>22207.791249293376</v>
      </c>
      <c r="E6" s="2">
        <v>855088.67608777899</v>
      </c>
      <c r="F6" s="2">
        <v>843886.71704779228</v>
      </c>
      <c r="G6" s="2">
        <v>1698975.3931355719</v>
      </c>
    </row>
    <row r="7" spans="1:7" x14ac:dyDescent="0.25">
      <c r="A7" s="1">
        <v>2014</v>
      </c>
      <c r="B7" s="1" t="s">
        <v>4</v>
      </c>
      <c r="C7" s="2">
        <v>1191307.0737217607</v>
      </c>
      <c r="D7" s="2">
        <v>36106.198030118001</v>
      </c>
      <c r="E7" s="2">
        <v>128935.53396300701</v>
      </c>
      <c r="F7" s="2">
        <v>1227413.2717518786</v>
      </c>
      <c r="G7" s="2">
        <v>1356348.8057148862</v>
      </c>
    </row>
    <row r="8" spans="1:7" x14ac:dyDescent="0.25">
      <c r="A8" s="1">
        <v>2014</v>
      </c>
      <c r="B8" s="1" t="s">
        <v>5</v>
      </c>
      <c r="C8" s="2">
        <v>830504.16513630317</v>
      </c>
      <c r="D8" s="2">
        <v>37113.546358880005</v>
      </c>
      <c r="E8" s="2">
        <v>782154.71088793816</v>
      </c>
      <c r="F8" s="2">
        <v>867617.71149518329</v>
      </c>
      <c r="G8" s="2">
        <v>1649772.4223831212</v>
      </c>
    </row>
    <row r="9" spans="1:7" x14ac:dyDescent="0.25">
      <c r="A9" s="1">
        <v>2015</v>
      </c>
      <c r="B9" s="1" t="s">
        <v>4</v>
      </c>
      <c r="C9" s="2">
        <v>1222635.6304447432</v>
      </c>
      <c r="D9" s="2">
        <v>31932.332636323819</v>
      </c>
      <c r="E9" s="2">
        <v>135847.91434528556</v>
      </c>
      <c r="F9" s="2">
        <v>1254567.963081067</v>
      </c>
      <c r="G9" s="2">
        <v>1390415.8774263526</v>
      </c>
    </row>
    <row r="10" spans="1:7" x14ac:dyDescent="0.25">
      <c r="A10" s="1">
        <v>2015</v>
      </c>
      <c r="B10" s="1" t="s">
        <v>5</v>
      </c>
      <c r="C10" s="2">
        <v>881131.72851231927</v>
      </c>
      <c r="D10" s="2">
        <v>54378.461944212664</v>
      </c>
      <c r="E10" s="2">
        <v>805352.45039647818</v>
      </c>
      <c r="F10" s="2">
        <v>935510.19045653194</v>
      </c>
      <c r="G10" s="2">
        <v>1740862.6408530101</v>
      </c>
    </row>
    <row r="11" spans="1:7" x14ac:dyDescent="0.25">
      <c r="A11" s="1">
        <v>2016</v>
      </c>
      <c r="B11" s="1" t="s">
        <v>4</v>
      </c>
      <c r="C11" s="2">
        <v>1261105.1205538621</v>
      </c>
      <c r="D11" s="2">
        <v>38653.62211262223</v>
      </c>
      <c r="E11" s="2">
        <v>152060.54548399022</v>
      </c>
      <c r="F11" s="2">
        <v>1299758.7426664846</v>
      </c>
      <c r="G11" s="2">
        <v>1451819.2881504744</v>
      </c>
    </row>
    <row r="12" spans="1:7" x14ac:dyDescent="0.25">
      <c r="A12" s="1">
        <v>2016</v>
      </c>
      <c r="B12" s="1" t="s">
        <v>5</v>
      </c>
      <c r="C12" s="2">
        <v>891515.1413676322</v>
      </c>
      <c r="D12" s="2">
        <v>37618.693535420112</v>
      </c>
      <c r="E12" s="2">
        <v>856051.25604894676</v>
      </c>
      <c r="F12" s="2">
        <v>929133.83490305231</v>
      </c>
      <c r="G12" s="2">
        <v>1785185.090951999</v>
      </c>
    </row>
    <row r="13" spans="1:7" x14ac:dyDescent="0.25">
      <c r="A13" s="1">
        <v>2017</v>
      </c>
      <c r="B13" s="1" t="s">
        <v>4</v>
      </c>
      <c r="C13" s="2">
        <v>2385943.5906725135</v>
      </c>
      <c r="D13" s="2">
        <v>100456.49315710196</v>
      </c>
      <c r="E13" s="2">
        <v>783081.20030702557</v>
      </c>
      <c r="F13" s="2">
        <v>2486400.0838296153</v>
      </c>
      <c r="G13" s="2">
        <v>3269481.2841366408</v>
      </c>
    </row>
    <row r="14" spans="1:7" x14ac:dyDescent="0.25">
      <c r="A14" s="1">
        <v>2017</v>
      </c>
      <c r="B14" s="1" t="s">
        <v>5</v>
      </c>
      <c r="C14" s="2">
        <v>1434034.6415689525</v>
      </c>
      <c r="D14" s="2">
        <v>173039.49671018805</v>
      </c>
      <c r="E14" s="2">
        <v>2059829.5527164307</v>
      </c>
      <c r="F14" s="2">
        <v>1607074.1382791405</v>
      </c>
      <c r="G14" s="2">
        <v>3666903.6909955712</v>
      </c>
    </row>
    <row r="15" spans="1:7" x14ac:dyDescent="0.25">
      <c r="A15" s="1">
        <v>2018</v>
      </c>
      <c r="B15" s="1" t="s">
        <v>4</v>
      </c>
      <c r="C15" s="2">
        <v>2490998.3382148035</v>
      </c>
      <c r="D15" s="2">
        <v>118241.64663388518</v>
      </c>
      <c r="E15" s="2">
        <v>812709.69802807365</v>
      </c>
      <c r="F15" s="2">
        <v>2609239.9848486888</v>
      </c>
      <c r="G15" s="2">
        <v>3421949.6828767625</v>
      </c>
    </row>
    <row r="16" spans="1:7" x14ac:dyDescent="0.25">
      <c r="A16" s="1">
        <v>2018</v>
      </c>
      <c r="B16" s="1" t="s">
        <v>5</v>
      </c>
      <c r="C16" s="2">
        <v>1599653.0569208513</v>
      </c>
      <c r="D16" s="2">
        <v>127484.84993021621</v>
      </c>
      <c r="E16" s="2">
        <v>2030088.8994213874</v>
      </c>
      <c r="F16" s="2">
        <v>1727137.9068510677</v>
      </c>
      <c r="G16" s="2">
        <v>3757226.806272455</v>
      </c>
    </row>
    <row r="17" spans="1:7" x14ac:dyDescent="0.25">
      <c r="A17" s="1">
        <v>2019</v>
      </c>
      <c r="B17" s="1" t="s">
        <v>4</v>
      </c>
      <c r="C17" s="2">
        <v>2507324.3099702084</v>
      </c>
      <c r="D17" s="2">
        <v>110523.83143146029</v>
      </c>
      <c r="E17" s="2">
        <v>870166.93837666558</v>
      </c>
      <c r="F17" s="2">
        <v>2617848.1414016685</v>
      </c>
      <c r="G17" s="2">
        <v>3488015.0797783341</v>
      </c>
    </row>
    <row r="18" spans="1:7" x14ac:dyDescent="0.25">
      <c r="A18" s="1">
        <v>2019</v>
      </c>
      <c r="B18" s="1" t="s">
        <v>5</v>
      </c>
      <c r="C18" s="2">
        <v>1472437.1308904677</v>
      </c>
      <c r="D18" s="2">
        <v>130008.93758771608</v>
      </c>
      <c r="E18" s="2">
        <v>2269605.556884944</v>
      </c>
      <c r="F18" s="2">
        <v>1602446.0684781838</v>
      </c>
      <c r="G18" s="2">
        <v>3872051.6253631278</v>
      </c>
    </row>
    <row r="19" spans="1:7" x14ac:dyDescent="0.25">
      <c r="A19" s="1">
        <v>2020</v>
      </c>
      <c r="B19" s="1" t="s">
        <v>4</v>
      </c>
      <c r="C19" s="2">
        <v>2115193.8134488659</v>
      </c>
      <c r="D19" s="2">
        <v>202453.73157034742</v>
      </c>
      <c r="E19" s="2">
        <v>850807.42165521951</v>
      </c>
      <c r="F19" s="2">
        <v>2317647.5450192131</v>
      </c>
      <c r="G19" s="2">
        <v>3168454.9666744326</v>
      </c>
    </row>
    <row r="20" spans="1:7" x14ac:dyDescent="0.25">
      <c r="A20" s="1">
        <v>2020</v>
      </c>
      <c r="B20" s="1" t="s">
        <v>5</v>
      </c>
      <c r="C20" s="2">
        <v>1540459.4398014925</v>
      </c>
      <c r="D20" s="2">
        <v>245320.34165326622</v>
      </c>
      <c r="E20" s="2">
        <v>1954408.9174754657</v>
      </c>
      <c r="F20" s="2">
        <v>1785779.7814547587</v>
      </c>
      <c r="G20" s="2">
        <v>3740188.6989302244</v>
      </c>
    </row>
    <row r="21" spans="1:7" x14ac:dyDescent="0.25">
      <c r="A21" s="1">
        <v>2021</v>
      </c>
      <c r="B21" s="1" t="s">
        <v>4</v>
      </c>
      <c r="C21" s="2">
        <v>2173399.2164419149</v>
      </c>
      <c r="D21" s="2">
        <v>163853.50066402994</v>
      </c>
      <c r="E21" s="2">
        <v>807293.04490679223</v>
      </c>
      <c r="F21" s="2">
        <v>2337252.7171059446</v>
      </c>
      <c r="G21" s="2">
        <v>3144545.7620127369</v>
      </c>
    </row>
    <row r="22" spans="1:7" x14ac:dyDescent="0.25">
      <c r="A22" s="1">
        <v>2021</v>
      </c>
      <c r="B22" s="1" t="s">
        <v>5</v>
      </c>
      <c r="C22" s="2">
        <v>1548970.327158435</v>
      </c>
      <c r="D22" s="2">
        <v>185004.20087120286</v>
      </c>
      <c r="E22" s="2">
        <v>1826149.3149933107</v>
      </c>
      <c r="F22" s="2">
        <v>1733974.5280296379</v>
      </c>
      <c r="G22" s="2">
        <v>3560123.8430229486</v>
      </c>
    </row>
    <row r="23" spans="1:7" x14ac:dyDescent="0.25">
      <c r="A23" s="1">
        <v>2022</v>
      </c>
      <c r="B23" s="1" t="s">
        <v>4</v>
      </c>
      <c r="C23" s="2">
        <v>2188857.5118891369</v>
      </c>
      <c r="D23" s="2">
        <v>143753.65014199712</v>
      </c>
      <c r="E23" s="2">
        <v>754966.85356655344</v>
      </c>
      <c r="F23" s="2">
        <v>2332611.1620311341</v>
      </c>
      <c r="G23" s="2">
        <v>3087578.0155976876</v>
      </c>
    </row>
    <row r="24" spans="1:7" x14ac:dyDescent="0.25">
      <c r="A24" s="1">
        <v>2022</v>
      </c>
      <c r="B24" s="1" t="s">
        <v>5</v>
      </c>
      <c r="C24" s="2">
        <v>1441101.5033423763</v>
      </c>
      <c r="D24" s="2">
        <v>212674.4211012733</v>
      </c>
      <c r="E24" s="2">
        <v>2054159.2659418019</v>
      </c>
      <c r="F24" s="2">
        <v>1653775.9244436496</v>
      </c>
      <c r="G24" s="2">
        <v>3707935.1903854515</v>
      </c>
    </row>
    <row r="25" spans="1:7" x14ac:dyDescent="0.25">
      <c r="A25" s="1">
        <v>2023</v>
      </c>
      <c r="B25" s="1" t="s">
        <v>4</v>
      </c>
      <c r="C25" s="2">
        <v>2272408.8246490015</v>
      </c>
      <c r="D25" s="2">
        <v>118742.01703418286</v>
      </c>
      <c r="E25" s="2">
        <v>815629.91083258204</v>
      </c>
      <c r="F25" s="2">
        <v>2391150.8416831843</v>
      </c>
      <c r="G25" s="2">
        <v>3206780.7525157663</v>
      </c>
    </row>
    <row r="26" spans="1:7" x14ac:dyDescent="0.25">
      <c r="A26" s="1">
        <v>2023</v>
      </c>
      <c r="B26" s="1" t="s">
        <v>5</v>
      </c>
      <c r="C26" s="2">
        <v>1366683.4574205393</v>
      </c>
      <c r="D26" s="2">
        <v>131925.93567426919</v>
      </c>
      <c r="E26" s="2">
        <v>2250444.0059708413</v>
      </c>
      <c r="F26" s="2">
        <v>1498609.3930948086</v>
      </c>
      <c r="G26" s="2">
        <v>3749053.3990656501</v>
      </c>
    </row>
    <row r="27" spans="1:7" x14ac:dyDescent="0.25">
      <c r="A27" s="1">
        <v>2024</v>
      </c>
      <c r="B27" s="1" t="s">
        <v>4</v>
      </c>
      <c r="C27" s="2">
        <v>2245198.4438288854</v>
      </c>
      <c r="D27" s="2">
        <v>102447.22204047073</v>
      </c>
      <c r="E27" s="2">
        <v>828799.72843773523</v>
      </c>
      <c r="F27" s="2">
        <v>2347645.6658693561</v>
      </c>
      <c r="G27" s="2">
        <v>3176445.3943070914</v>
      </c>
    </row>
    <row r="28" spans="1:7" x14ac:dyDescent="0.25">
      <c r="A28" s="1">
        <v>2024</v>
      </c>
      <c r="B28" s="1" t="s">
        <v>5</v>
      </c>
      <c r="C28" s="2">
        <v>1479772.0850242476</v>
      </c>
      <c r="D28" s="2">
        <v>103526.15951122732</v>
      </c>
      <c r="E28" s="2">
        <v>2286893.9756970955</v>
      </c>
      <c r="F28" s="2">
        <v>1583298.244535475</v>
      </c>
      <c r="G28" s="2">
        <v>3870192.2202325705</v>
      </c>
    </row>
    <row r="29" spans="1:7" x14ac:dyDescent="0.25">
      <c r="A29" s="1">
        <v>2025</v>
      </c>
      <c r="B29" s="1" t="s">
        <v>4</v>
      </c>
      <c r="C29" s="2">
        <v>2462889.390286312</v>
      </c>
      <c r="D29" s="2">
        <v>93488.696443978581</v>
      </c>
      <c r="E29" s="2">
        <v>790087.81749717612</v>
      </c>
      <c r="F29" s="2">
        <v>2556378.0867302907</v>
      </c>
      <c r="G29" s="2">
        <v>3346465.9042274668</v>
      </c>
    </row>
    <row r="30" spans="1:7" x14ac:dyDescent="0.25">
      <c r="A30" s="1">
        <v>2025</v>
      </c>
      <c r="B30" s="1" t="s">
        <v>5</v>
      </c>
      <c r="C30" s="2">
        <v>1612525.9609951037</v>
      </c>
      <c r="D30" s="2">
        <v>117525.94383624128</v>
      </c>
      <c r="E30" s="2">
        <v>2286903.4775989605</v>
      </c>
      <c r="F30" s="2">
        <v>1730051.904831345</v>
      </c>
      <c r="G30" s="2">
        <v>4016955.3824303052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Fuente 2012 - 2016</vt:lpstr>
      <vt:lpstr>Sumaria Edad 2012 - 2016</vt:lpstr>
      <vt:lpstr>Sumatoria Genero 2012 - 2016</vt:lpstr>
      <vt:lpstr>Empleo Edad 2012 - 2025</vt:lpstr>
      <vt:lpstr>Empleo Genero 2012 - 2025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Zuniga</dc:creator>
  <cp:lastModifiedBy>Carlos Zuniga</cp:lastModifiedBy>
  <dcterms:created xsi:type="dcterms:W3CDTF">2015-06-05T18:19:34Z</dcterms:created>
  <dcterms:modified xsi:type="dcterms:W3CDTF">2026-01-04T04:05:26Z</dcterms:modified>
</cp:coreProperties>
</file>